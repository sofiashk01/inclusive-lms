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нивер\4 курс\Економічна кібернетика\"/>
    </mc:Choice>
  </mc:AlternateContent>
  <xr:revisionPtr revIDLastSave="0" documentId="13_ncr:1_{FCCA6E15-4568-4D02-B247-7D831556AE4D}" xr6:coauthVersionLast="47" xr6:coauthVersionMax="47" xr10:uidLastSave="{00000000-0000-0000-0000-000000000000}"/>
  <bookViews>
    <workbookView xWindow="-120" yWindow="-120" windowWidth="29040" windowHeight="15720" activeTab="1" xr2:uid="{51B1E64D-38EC-42B1-9D13-CFDB5A5D5AE5}"/>
  </bookViews>
  <sheets>
    <sheet name="2_1" sheetId="1" r:id="rId1"/>
    <sheet name="2_2" sheetId="2" r:id="rId2"/>
    <sheet name="2_3 (2)" sheetId="4" r:id="rId3"/>
    <sheet name="2_3" sheetId="3" r:id="rId4"/>
  </sheets>
  <definedNames>
    <definedName name="solver_adj" localSheetId="0" hidden="1">'2_1'!$G$9:$G$12</definedName>
    <definedName name="solver_adj" localSheetId="1" hidden="1">'2_2'!$H$14:$H$25</definedName>
    <definedName name="solver_adj" localSheetId="3" hidden="1">'2_3'!$H$14:$H$18</definedName>
    <definedName name="solver_adj" localSheetId="2" hidden="1">'2_3 (2)'!$H$14:$H$18</definedName>
    <definedName name="solver_cvg" localSheetId="0" hidden="1">0.0001</definedName>
    <definedName name="solver_cvg" localSheetId="1" hidden="1">0.0001</definedName>
    <definedName name="solver_cvg" localSheetId="3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3" hidden="1">1</definedName>
    <definedName name="solver_drv" localSheetId="2" hidden="1">1</definedName>
    <definedName name="solver_eng" localSheetId="0" hidden="1">2</definedName>
    <definedName name="solver_eng" localSheetId="1" hidden="1">2</definedName>
    <definedName name="solver_eng" localSheetId="3" hidden="1">2</definedName>
    <definedName name="solver_eng" localSheetId="2" hidden="1">2</definedName>
    <definedName name="solver_est" localSheetId="0" hidden="1">1</definedName>
    <definedName name="solver_est" localSheetId="1" hidden="1">1</definedName>
    <definedName name="solver_est" localSheetId="3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3" hidden="1">2147483647</definedName>
    <definedName name="solver_itr" localSheetId="2" hidden="1">2147483647</definedName>
    <definedName name="solver_lhs1" localSheetId="0" hidden="1">'2_1'!$D$13</definedName>
    <definedName name="solver_lhs1" localSheetId="1" hidden="1">'2_2'!$D$26</definedName>
    <definedName name="solver_lhs1" localSheetId="3" hidden="1">'2_3'!$D$19</definedName>
    <definedName name="solver_lhs1" localSheetId="2" hidden="1">'2_3 (2)'!$D$19</definedName>
    <definedName name="solver_lhs2" localSheetId="0" hidden="1">'2_1'!$E$13</definedName>
    <definedName name="solver_lhs2" localSheetId="1" hidden="1">'2_2'!$E$26</definedName>
    <definedName name="solver_lhs2" localSheetId="3" hidden="1">'2_3'!$E$19</definedName>
    <definedName name="solver_lhs2" localSheetId="2" hidden="1">'2_3 (2)'!$E$19</definedName>
    <definedName name="solver_lhs3" localSheetId="0" hidden="1">'2_1'!$G$9:$G$12</definedName>
    <definedName name="solver_lhs3" localSheetId="1" hidden="1">'2_2'!$F$26</definedName>
    <definedName name="solver_lhs3" localSheetId="3" hidden="1">'2_3'!$F$19</definedName>
    <definedName name="solver_lhs3" localSheetId="2" hidden="1">'2_3 (2)'!$F$19</definedName>
    <definedName name="solver_lhs4" localSheetId="1" hidden="1">'2_2'!$H$14:$H$25</definedName>
    <definedName name="solver_lhs4" localSheetId="3" hidden="1">'2_3'!$H$14:$H$18</definedName>
    <definedName name="solver_lhs4" localSheetId="2" hidden="1">'2_3 (2)'!$H$14:$H$18</definedName>
    <definedName name="solver_mip" localSheetId="0" hidden="1">2147483647</definedName>
    <definedName name="solver_mip" localSheetId="1" hidden="1">2147483647</definedName>
    <definedName name="solver_mip" localSheetId="3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3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3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3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3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3" hidden="1">2147483647</definedName>
    <definedName name="solver_nod" localSheetId="2" hidden="1">2147483647</definedName>
    <definedName name="solver_num" localSheetId="0" hidden="1">3</definedName>
    <definedName name="solver_num" localSheetId="1" hidden="1">4</definedName>
    <definedName name="solver_num" localSheetId="3" hidden="1">4</definedName>
    <definedName name="solver_num" localSheetId="2" hidden="1">4</definedName>
    <definedName name="solver_nwt" localSheetId="0" hidden="1">1</definedName>
    <definedName name="solver_nwt" localSheetId="1" hidden="1">1</definedName>
    <definedName name="solver_nwt" localSheetId="3" hidden="1">1</definedName>
    <definedName name="solver_nwt" localSheetId="2" hidden="1">1</definedName>
    <definedName name="solver_opt" localSheetId="0" hidden="1">'2_1'!$G$13</definedName>
    <definedName name="solver_opt" localSheetId="1" hidden="1">'2_2'!$H$26</definedName>
    <definedName name="solver_opt" localSheetId="3" hidden="1">'2_3'!$H$19</definedName>
    <definedName name="solver_opt" localSheetId="2" hidden="1">'2_3 (2)'!$H$19</definedName>
    <definedName name="solver_pre" localSheetId="0" hidden="1">0.000001</definedName>
    <definedName name="solver_pre" localSheetId="1" hidden="1">0.000001</definedName>
    <definedName name="solver_pre" localSheetId="3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3" hidden="1">1</definedName>
    <definedName name="solver_rbv" localSheetId="2" hidden="1">1</definedName>
    <definedName name="solver_rel1" localSheetId="0" hidden="1">2</definedName>
    <definedName name="solver_rel1" localSheetId="1" hidden="1">3</definedName>
    <definedName name="solver_rel1" localSheetId="3" hidden="1">3</definedName>
    <definedName name="solver_rel1" localSheetId="2" hidden="1">3</definedName>
    <definedName name="solver_rel2" localSheetId="0" hidden="1">2</definedName>
    <definedName name="solver_rel2" localSheetId="1" hidden="1">3</definedName>
    <definedName name="solver_rel2" localSheetId="3" hidden="1">3</definedName>
    <definedName name="solver_rel2" localSheetId="2" hidden="1">3</definedName>
    <definedName name="solver_rel3" localSheetId="0" hidden="1">4</definedName>
    <definedName name="solver_rel3" localSheetId="1" hidden="1">3</definedName>
    <definedName name="solver_rel3" localSheetId="3" hidden="1">3</definedName>
    <definedName name="solver_rel3" localSheetId="2" hidden="1">3</definedName>
    <definedName name="solver_rel4" localSheetId="1" hidden="1">4</definedName>
    <definedName name="solver_rel4" localSheetId="3" hidden="1">4</definedName>
    <definedName name="solver_rel4" localSheetId="2" hidden="1">4</definedName>
    <definedName name="solver_rhs1" localSheetId="0" hidden="1">'2_1'!$D$14</definedName>
    <definedName name="solver_rhs1" localSheetId="1" hidden="1">'2_2'!$D$27</definedName>
    <definedName name="solver_rhs1" localSheetId="3" hidden="1">'2_3'!$D$20</definedName>
    <definedName name="solver_rhs1" localSheetId="2" hidden="1">'2_3 (2)'!$D$20</definedName>
    <definedName name="solver_rhs2" localSheetId="0" hidden="1">'2_1'!$E$14</definedName>
    <definedName name="solver_rhs2" localSheetId="1" hidden="1">'2_2'!$E$27</definedName>
    <definedName name="solver_rhs2" localSheetId="3" hidden="1">'2_3'!$E$20</definedName>
    <definedName name="solver_rhs2" localSheetId="2" hidden="1">'2_3 (2)'!$E$20</definedName>
    <definedName name="solver_rhs3" localSheetId="0" hidden="1">"целое"</definedName>
    <definedName name="solver_rhs3" localSheetId="1" hidden="1">'2_2'!$F$27</definedName>
    <definedName name="solver_rhs3" localSheetId="3" hidden="1">'2_3'!$F$20</definedName>
    <definedName name="solver_rhs3" localSheetId="2" hidden="1">'2_3 (2)'!$F$20</definedName>
    <definedName name="solver_rhs4" localSheetId="1" hidden="1">"целое"</definedName>
    <definedName name="solver_rhs4" localSheetId="3" hidden="1">"целое"</definedName>
    <definedName name="solver_rhs4" localSheetId="2" hidden="1">"целое"</definedName>
    <definedName name="solver_rlx" localSheetId="0" hidden="1">2</definedName>
    <definedName name="solver_rlx" localSheetId="1" hidden="1">2</definedName>
    <definedName name="solver_rlx" localSheetId="3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3" hidden="1">0</definedName>
    <definedName name="solver_rsd" localSheetId="2" hidden="1">0</definedName>
    <definedName name="solver_scl" localSheetId="0" hidden="1">1</definedName>
    <definedName name="solver_scl" localSheetId="1" hidden="1">1</definedName>
    <definedName name="solver_scl" localSheetId="3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3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3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3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3" hidden="1">0.01</definedName>
    <definedName name="solver_tol" localSheetId="2" hidden="1">0.01</definedName>
    <definedName name="solver_typ" localSheetId="0" hidden="1">2</definedName>
    <definedName name="solver_typ" localSheetId="1" hidden="1">2</definedName>
    <definedName name="solver_typ" localSheetId="3" hidden="1">2</definedName>
    <definedName name="solver_typ" localSheetId="2" hidden="1">2</definedName>
    <definedName name="solver_val" localSheetId="0" hidden="1">0</definedName>
    <definedName name="solver_val" localSheetId="1" hidden="1">0</definedName>
    <definedName name="solver_val" localSheetId="3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3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4" l="1"/>
  <c r="E20" i="4"/>
  <c r="D20" i="4"/>
  <c r="F19" i="4"/>
  <c r="E19" i="4"/>
  <c r="D19" i="4"/>
  <c r="G18" i="4"/>
  <c r="G17" i="4"/>
  <c r="G16" i="4"/>
  <c r="G15" i="4"/>
  <c r="G14" i="4"/>
  <c r="H19" i="4" s="1"/>
  <c r="G14" i="3"/>
  <c r="E20" i="3"/>
  <c r="F20" i="3"/>
  <c r="D20" i="3"/>
  <c r="F19" i="3"/>
  <c r="E19" i="3"/>
  <c r="D19" i="3"/>
  <c r="G18" i="3"/>
  <c r="G17" i="3"/>
  <c r="G16" i="3"/>
  <c r="G15" i="3"/>
  <c r="G14" i="2"/>
  <c r="E27" i="2"/>
  <c r="F27" i="2"/>
  <c r="D27" i="2"/>
  <c r="E26" i="2"/>
  <c r="F26" i="2"/>
  <c r="D26" i="2"/>
  <c r="G15" i="2"/>
  <c r="G16" i="2"/>
  <c r="G17" i="2"/>
  <c r="H26" i="2" s="1"/>
  <c r="G18" i="2"/>
  <c r="G19" i="2"/>
  <c r="G20" i="2"/>
  <c r="G21" i="2"/>
  <c r="G22" i="2"/>
  <c r="G23" i="2"/>
  <c r="G24" i="2"/>
  <c r="G25" i="2"/>
  <c r="G13" i="1"/>
  <c r="E13" i="1"/>
  <c r="D13" i="1"/>
  <c r="H19" i="3" l="1"/>
</calcChain>
</file>

<file path=xl/sharedStrings.xml><?xml version="1.0" encoding="utf-8"?>
<sst xmlns="http://schemas.openxmlformats.org/spreadsheetml/2006/main" count="34" uniqueCount="18">
  <si>
    <t>Номер варіанту</t>
  </si>
  <si>
    <t>Кількість деталей</t>
  </si>
  <si>
    <t>розміром 4х5</t>
  </si>
  <si>
    <t>розміром 2х3</t>
  </si>
  <si>
    <t>Величина відходів</t>
  </si>
  <si>
    <t>Кількість листів для розрізу за кожним варінтом, х1, х2, х3, х4</t>
  </si>
  <si>
    <t>Фактично виготовлено деталей, шт</t>
  </si>
  <si>
    <t>Необхідно виготовити деталей, шт</t>
  </si>
  <si>
    <t>Цільова функція (мінімум відходів)</t>
  </si>
  <si>
    <t>Необхідна кулькість смуг для виробництва 1 трансформатора, шт</t>
  </si>
  <si>
    <t>Необхідна кількість трансформаторів, шт</t>
  </si>
  <si>
    <t>Спосіб розкрою</t>
  </si>
  <si>
    <t>Ширина смуг, мм</t>
  </si>
  <si>
    <t>Величина відходів, мм</t>
  </si>
  <si>
    <t>Кількість рулонів для розрізу за кожним варіантом, Xs, s = 12</t>
  </si>
  <si>
    <t>Фактична кількість смуг, шт</t>
  </si>
  <si>
    <t>Необхідна кількість смуг для 40 трансформаторів, шт</t>
  </si>
  <si>
    <t>Цільова функція(мінімум відходів)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</si>
</sst>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/>
    <xf numFmtId="0" fontId="0" fillId="2" borderId="1" xfId="0" applyFill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114300</xdr:colOff>
      <xdr:row>6</xdr:row>
      <xdr:rowOff>85725</xdr:rowOff>
    </xdr:from>
    <xdr:to>
      <xdr:col>12</xdr:col>
      <xdr:colOff>314325</xdr:colOff>
      <xdr:row>7</xdr:row>
      <xdr:rowOff>552450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41BDB76-6FB8-2239-160C-5B50E6F70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6525" y="1228725"/>
          <a:ext cx="263842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</xdr:colOff>
      <xdr:row>7</xdr:row>
      <xdr:rowOff>85725</xdr:rowOff>
    </xdr:from>
    <xdr:to>
      <xdr:col>19</xdr:col>
      <xdr:colOff>66675</xdr:colOff>
      <xdr:row>11</xdr:row>
      <xdr:rowOff>47625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5A7454A-F482-4D1C-20F2-A8985C99A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05950" y="1419225"/>
          <a:ext cx="4933950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11</xdr:row>
      <xdr:rowOff>0</xdr:rowOff>
    </xdr:from>
    <xdr:to>
      <xdr:col>16</xdr:col>
      <xdr:colOff>485775</xdr:colOff>
      <xdr:row>13</xdr:row>
      <xdr:rowOff>85725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2DB5B44-EDB0-F939-4C1E-8152B2CFC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095500"/>
          <a:ext cx="348615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8B4D-F52E-48EF-A9DE-29B1061C5E46}">
  <dimension ref="C7:G14"/>
  <sheetViews>
    <sheetView workbookViewId="0">
      <selection activeCell="E19" sqref="E19"/>
    </sheetView>
  </sheetViews>
  <sheetFormatPr defaultRowHeight="15" x14ac:dyDescent="0.25"/>
  <cols>
    <col min="3" max="3" width="16" customWidth="1"/>
    <col min="4" max="4" width="12.5703125" customWidth="1"/>
    <col min="5" max="5" width="12.140625" customWidth="1"/>
    <col min="6" max="6" width="12.85546875" customWidth="1"/>
    <col min="7" max="7" width="14.5703125" customWidth="1"/>
  </cols>
  <sheetData>
    <row r="7" spans="3:7" ht="42" customHeight="1" x14ac:dyDescent="0.25">
      <c r="C7" s="11" t="s">
        <v>0</v>
      </c>
      <c r="D7" s="11" t="s">
        <v>1</v>
      </c>
      <c r="E7" s="11"/>
      <c r="F7" s="12" t="s">
        <v>4</v>
      </c>
      <c r="G7" s="13" t="s">
        <v>5</v>
      </c>
    </row>
    <row r="8" spans="3:7" ht="48.75" customHeight="1" x14ac:dyDescent="0.25">
      <c r="C8" s="11"/>
      <c r="D8" s="1" t="s">
        <v>2</v>
      </c>
      <c r="E8" s="1" t="s">
        <v>3</v>
      </c>
      <c r="F8" s="12"/>
      <c r="G8" s="13"/>
    </row>
    <row r="9" spans="3:7" x14ac:dyDescent="0.25">
      <c r="C9" s="3">
        <v>1</v>
      </c>
      <c r="D9" s="3">
        <v>0</v>
      </c>
      <c r="E9" s="3">
        <v>13</v>
      </c>
      <c r="F9" s="3">
        <v>0</v>
      </c>
      <c r="G9" s="4">
        <v>0</v>
      </c>
    </row>
    <row r="10" spans="3:7" x14ac:dyDescent="0.25">
      <c r="C10" s="3">
        <v>2</v>
      </c>
      <c r="D10" s="3">
        <v>1</v>
      </c>
      <c r="E10" s="3">
        <v>9</v>
      </c>
      <c r="F10" s="3">
        <v>2</v>
      </c>
      <c r="G10" s="4">
        <v>0</v>
      </c>
    </row>
    <row r="11" spans="3:7" x14ac:dyDescent="0.25">
      <c r="C11" s="3">
        <v>3</v>
      </c>
      <c r="D11" s="3">
        <v>2</v>
      </c>
      <c r="E11" s="3">
        <v>6</v>
      </c>
      <c r="F11" s="3">
        <v>2</v>
      </c>
      <c r="G11" s="4">
        <v>25</v>
      </c>
    </row>
    <row r="12" spans="3:7" x14ac:dyDescent="0.25">
      <c r="C12" s="3">
        <v>4</v>
      </c>
      <c r="D12" s="3">
        <v>3</v>
      </c>
      <c r="E12" s="3">
        <v>1</v>
      </c>
      <c r="F12" s="3">
        <v>12</v>
      </c>
      <c r="G12" s="4">
        <v>250</v>
      </c>
    </row>
    <row r="13" spans="3:7" ht="48" customHeight="1" x14ac:dyDescent="0.25">
      <c r="C13" s="2" t="s">
        <v>6</v>
      </c>
      <c r="D13" s="3">
        <f>SUMPRODUCT(D9:D12,$G$9:$G$12)</f>
        <v>800</v>
      </c>
      <c r="E13" s="3">
        <f>SUMPRODUCT(E9:E12,$G$9:$G$12)</f>
        <v>400</v>
      </c>
      <c r="F13" s="14" t="s">
        <v>8</v>
      </c>
      <c r="G13" s="15">
        <f>SUMPRODUCT(F9:F12,$G$9:$G$12)</f>
        <v>3050</v>
      </c>
    </row>
    <row r="14" spans="3:7" ht="49.5" customHeight="1" x14ac:dyDescent="0.25">
      <c r="C14" s="2" t="s">
        <v>7</v>
      </c>
      <c r="D14" s="5">
        <v>800</v>
      </c>
      <c r="E14" s="5">
        <v>400</v>
      </c>
      <c r="F14" s="14"/>
      <c r="G14" s="15"/>
    </row>
  </sheetData>
  <mergeCells count="6">
    <mergeCell ref="C7:C8"/>
    <mergeCell ref="D7:E7"/>
    <mergeCell ref="F7:F8"/>
    <mergeCell ref="G7:G8"/>
    <mergeCell ref="F13:F14"/>
    <mergeCell ref="G13:G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A7F21-48D7-4FDB-BFE7-6B1BF0A60DF0}">
  <dimension ref="C6:H27"/>
  <sheetViews>
    <sheetView tabSelected="1" topLeftCell="A7" workbookViewId="0">
      <selection activeCell="J25" sqref="J25"/>
    </sheetView>
  </sheetViews>
  <sheetFormatPr defaultRowHeight="15" x14ac:dyDescent="0.25"/>
  <cols>
    <col min="3" max="3" width="19.7109375" customWidth="1"/>
    <col min="4" max="4" width="14.28515625" customWidth="1"/>
    <col min="5" max="5" width="16.140625" customWidth="1"/>
    <col min="6" max="6" width="14.28515625" customWidth="1"/>
    <col min="7" max="7" width="18.85546875" customWidth="1"/>
    <col min="8" max="8" width="13.42578125" customWidth="1"/>
  </cols>
  <sheetData>
    <row r="6" spans="3:8" x14ac:dyDescent="0.25">
      <c r="C6">
        <v>5400</v>
      </c>
    </row>
    <row r="8" spans="3:8" ht="46.5" customHeight="1" x14ac:dyDescent="0.25">
      <c r="C8" s="14" t="s">
        <v>9</v>
      </c>
      <c r="D8" s="14"/>
      <c r="E8" s="14"/>
      <c r="G8" s="1" t="s">
        <v>10</v>
      </c>
    </row>
    <row r="9" spans="3:8" x14ac:dyDescent="0.25">
      <c r="C9" s="3">
        <v>1400</v>
      </c>
      <c r="D9" s="3">
        <v>250</v>
      </c>
      <c r="E9" s="3">
        <v>600</v>
      </c>
      <c r="G9" s="3">
        <v>54</v>
      </c>
    </row>
    <row r="10" spans="3:8" x14ac:dyDescent="0.25">
      <c r="C10" s="3">
        <v>2</v>
      </c>
      <c r="D10" s="3">
        <v>4</v>
      </c>
      <c r="E10" s="3">
        <v>1</v>
      </c>
    </row>
    <row r="12" spans="3:8" ht="43.5" customHeight="1" x14ac:dyDescent="0.25">
      <c r="C12" s="16" t="s">
        <v>11</v>
      </c>
      <c r="D12" s="16" t="s">
        <v>12</v>
      </c>
      <c r="E12" s="16"/>
      <c r="F12" s="16"/>
      <c r="G12" s="14" t="s">
        <v>13</v>
      </c>
      <c r="H12" s="13" t="s">
        <v>14</v>
      </c>
    </row>
    <row r="13" spans="3:8" ht="47.25" customHeight="1" x14ac:dyDescent="0.25">
      <c r="C13" s="16"/>
      <c r="D13" s="6">
        <v>1400</v>
      </c>
      <c r="E13" s="6">
        <v>250</v>
      </c>
      <c r="F13" s="6">
        <v>650</v>
      </c>
      <c r="G13" s="14"/>
      <c r="H13" s="13"/>
    </row>
    <row r="14" spans="3:8" x14ac:dyDescent="0.25">
      <c r="C14" s="6">
        <v>1</v>
      </c>
      <c r="D14" s="6">
        <v>3</v>
      </c>
      <c r="E14" s="6">
        <v>0</v>
      </c>
      <c r="F14" s="6">
        <v>1</v>
      </c>
      <c r="G14" s="6">
        <f>$C$6-$D$13*D14-$E$13*E14-$F$13*F14</f>
        <v>550</v>
      </c>
      <c r="H14" s="7">
        <v>0</v>
      </c>
    </row>
    <row r="15" spans="3:8" x14ac:dyDescent="0.25">
      <c r="C15" s="6">
        <v>2</v>
      </c>
      <c r="D15" s="6">
        <v>0</v>
      </c>
      <c r="E15" s="6">
        <v>20</v>
      </c>
      <c r="F15" s="6">
        <v>0</v>
      </c>
      <c r="G15" s="6">
        <f t="shared" ref="G15:G25" si="0">$C$6-$D$13*D15-$E$13*E15-$F$13*F15</f>
        <v>400</v>
      </c>
      <c r="H15" s="7">
        <v>7</v>
      </c>
    </row>
    <row r="16" spans="3:8" x14ac:dyDescent="0.25">
      <c r="C16" s="6">
        <v>3</v>
      </c>
      <c r="D16" s="6">
        <v>0</v>
      </c>
      <c r="E16" s="6">
        <v>1</v>
      </c>
      <c r="F16" s="6">
        <v>7</v>
      </c>
      <c r="G16" s="6">
        <f t="shared" si="0"/>
        <v>600</v>
      </c>
      <c r="H16" s="7">
        <v>0</v>
      </c>
    </row>
    <row r="17" spans="3:8" x14ac:dyDescent="0.25">
      <c r="C17" s="6">
        <v>4</v>
      </c>
      <c r="D17" s="6">
        <v>3</v>
      </c>
      <c r="E17" s="6">
        <v>3</v>
      </c>
      <c r="F17" s="6">
        <v>0</v>
      </c>
      <c r="G17" s="6">
        <f t="shared" si="0"/>
        <v>450</v>
      </c>
      <c r="H17" s="7">
        <v>24</v>
      </c>
    </row>
    <row r="18" spans="3:8" x14ac:dyDescent="0.25">
      <c r="C18" s="6">
        <v>5</v>
      </c>
      <c r="D18" s="6">
        <v>2</v>
      </c>
      <c r="E18" s="6">
        <v>1</v>
      </c>
      <c r="F18" s="6">
        <v>3</v>
      </c>
      <c r="G18" s="6">
        <f t="shared" si="0"/>
        <v>400</v>
      </c>
      <c r="H18" s="7">
        <v>18</v>
      </c>
    </row>
    <row r="19" spans="3:8" x14ac:dyDescent="0.25">
      <c r="C19" s="6">
        <v>6</v>
      </c>
      <c r="D19" s="6">
        <v>1</v>
      </c>
      <c r="E19" s="6">
        <v>14</v>
      </c>
      <c r="F19" s="6">
        <v>0</v>
      </c>
      <c r="G19" s="6">
        <f t="shared" si="0"/>
        <v>500</v>
      </c>
      <c r="H19" s="7">
        <v>0</v>
      </c>
    </row>
    <row r="20" spans="3:8" x14ac:dyDescent="0.25">
      <c r="C20" s="6">
        <v>7</v>
      </c>
      <c r="D20" s="6">
        <v>1</v>
      </c>
      <c r="E20" s="6">
        <v>1</v>
      </c>
      <c r="F20" s="6">
        <v>5</v>
      </c>
      <c r="G20" s="6">
        <f t="shared" si="0"/>
        <v>500</v>
      </c>
      <c r="H20" s="7">
        <v>0</v>
      </c>
    </row>
    <row r="21" spans="3:8" x14ac:dyDescent="0.25">
      <c r="C21" s="6">
        <v>8</v>
      </c>
      <c r="D21" s="6">
        <v>1</v>
      </c>
      <c r="E21" s="6">
        <v>11</v>
      </c>
      <c r="F21" s="6">
        <v>1</v>
      </c>
      <c r="G21" s="6">
        <f t="shared" si="0"/>
        <v>600</v>
      </c>
      <c r="H21" s="7">
        <v>0</v>
      </c>
    </row>
    <row r="22" spans="3:8" x14ac:dyDescent="0.25">
      <c r="C22" s="6">
        <v>9</v>
      </c>
      <c r="D22" s="6">
        <v>2</v>
      </c>
      <c r="E22" s="6">
        <v>6</v>
      </c>
      <c r="F22" s="6">
        <v>1</v>
      </c>
      <c r="G22" s="6">
        <f t="shared" si="0"/>
        <v>450</v>
      </c>
      <c r="H22" s="7">
        <v>0</v>
      </c>
    </row>
    <row r="23" spans="3:8" x14ac:dyDescent="0.25">
      <c r="C23" s="6">
        <v>10</v>
      </c>
      <c r="D23" s="6">
        <v>2</v>
      </c>
      <c r="E23" s="6">
        <v>3</v>
      </c>
      <c r="F23" s="6">
        <v>2</v>
      </c>
      <c r="G23" s="6">
        <f t="shared" si="0"/>
        <v>550</v>
      </c>
      <c r="H23" s="7">
        <v>0</v>
      </c>
    </row>
    <row r="24" spans="3:8" x14ac:dyDescent="0.25">
      <c r="C24" s="6">
        <v>11</v>
      </c>
      <c r="D24" s="6">
        <v>1</v>
      </c>
      <c r="E24" s="6">
        <v>4</v>
      </c>
      <c r="F24" s="6">
        <v>4</v>
      </c>
      <c r="G24" s="6">
        <f t="shared" si="0"/>
        <v>400</v>
      </c>
      <c r="H24" s="7">
        <v>0</v>
      </c>
    </row>
    <row r="25" spans="3:8" x14ac:dyDescent="0.25">
      <c r="C25" s="6">
        <v>12</v>
      </c>
      <c r="D25" s="6">
        <v>3</v>
      </c>
      <c r="E25" s="6">
        <v>3</v>
      </c>
      <c r="F25" s="6">
        <v>0</v>
      </c>
      <c r="G25" s="6">
        <f t="shared" si="0"/>
        <v>450</v>
      </c>
      <c r="H25" s="7">
        <v>0</v>
      </c>
    </row>
    <row r="26" spans="3:8" ht="45" customHeight="1" x14ac:dyDescent="0.25">
      <c r="C26" s="2" t="s">
        <v>15</v>
      </c>
      <c r="D26" s="6">
        <f>SUMPRODUCT(D14:D25,$H$14:$H$25)</f>
        <v>108</v>
      </c>
      <c r="E26" s="6">
        <f>SUMPRODUCT(E14:E25,$H$14:$H$25)</f>
        <v>230</v>
      </c>
      <c r="F26" s="6">
        <f>SUMPRODUCT(F14:F25,$H$14:$H$25)</f>
        <v>54</v>
      </c>
      <c r="G26" s="14" t="s">
        <v>17</v>
      </c>
      <c r="H26" s="15">
        <f>SUMPRODUCT(G14:G25,$H$14:$H$25)</f>
        <v>20800</v>
      </c>
    </row>
    <row r="27" spans="3:8" ht="59.25" customHeight="1" x14ac:dyDescent="0.25">
      <c r="C27" s="2" t="s">
        <v>16</v>
      </c>
      <c r="D27" s="8">
        <f>C10*$G$9</f>
        <v>108</v>
      </c>
      <c r="E27" s="8">
        <f>D10*$G$9</f>
        <v>216</v>
      </c>
      <c r="F27" s="8">
        <f>E10*$G$9</f>
        <v>54</v>
      </c>
      <c r="G27" s="14"/>
      <c r="H27" s="15"/>
    </row>
  </sheetData>
  <mergeCells count="7">
    <mergeCell ref="G26:G27"/>
    <mergeCell ref="H26:H27"/>
    <mergeCell ref="C8:E8"/>
    <mergeCell ref="C12:C13"/>
    <mergeCell ref="D12:F12"/>
    <mergeCell ref="G12:G13"/>
    <mergeCell ref="H12:H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E38B-0B9D-44FD-8BB2-B2695C728D4C}">
  <dimension ref="C6:H20"/>
  <sheetViews>
    <sheetView topLeftCell="B4" workbookViewId="0">
      <selection activeCell="D26" sqref="D26"/>
    </sheetView>
  </sheetViews>
  <sheetFormatPr defaultRowHeight="15" x14ac:dyDescent="0.25"/>
  <cols>
    <col min="3" max="3" width="20.7109375" customWidth="1"/>
    <col min="4" max="4" width="14.7109375" customWidth="1"/>
    <col min="5" max="5" width="15.42578125" customWidth="1"/>
    <col min="6" max="6" width="16.7109375" customWidth="1"/>
    <col min="7" max="7" width="25.42578125" customWidth="1"/>
    <col min="8" max="8" width="17.85546875" customWidth="1"/>
  </cols>
  <sheetData>
    <row r="6" spans="3:8" x14ac:dyDescent="0.25">
      <c r="C6">
        <v>3000</v>
      </c>
    </row>
    <row r="8" spans="3:8" x14ac:dyDescent="0.25">
      <c r="C8" s="14" t="s">
        <v>9</v>
      </c>
      <c r="D8" s="14"/>
      <c r="E8" s="14"/>
      <c r="G8" s="9"/>
    </row>
    <row r="9" spans="3:8" x14ac:dyDescent="0.25">
      <c r="C9" s="3">
        <v>1700</v>
      </c>
      <c r="D9" s="3">
        <v>1030</v>
      </c>
      <c r="E9" s="3">
        <v>220</v>
      </c>
      <c r="G9" s="10"/>
    </row>
    <row r="10" spans="3:8" x14ac:dyDescent="0.25">
      <c r="C10" s="3">
        <v>11</v>
      </c>
      <c r="D10" s="3">
        <v>70</v>
      </c>
      <c r="E10" s="3">
        <v>14</v>
      </c>
    </row>
    <row r="12" spans="3:8" ht="45" customHeight="1" x14ac:dyDescent="0.25">
      <c r="C12" s="16" t="s">
        <v>11</v>
      </c>
      <c r="D12" s="16" t="s">
        <v>12</v>
      </c>
      <c r="E12" s="16"/>
      <c r="F12" s="16"/>
      <c r="G12" s="14" t="s">
        <v>13</v>
      </c>
      <c r="H12" s="13" t="s">
        <v>14</v>
      </c>
    </row>
    <row r="13" spans="3:8" ht="56.25" customHeight="1" x14ac:dyDescent="0.25">
      <c r="C13" s="16"/>
      <c r="D13" s="6">
        <v>1700</v>
      </c>
      <c r="E13" s="6">
        <v>1030</v>
      </c>
      <c r="F13" s="6">
        <v>220</v>
      </c>
      <c r="G13" s="14"/>
      <c r="H13" s="13"/>
    </row>
    <row r="14" spans="3:8" x14ac:dyDescent="0.25">
      <c r="C14" s="6">
        <v>1</v>
      </c>
      <c r="D14" s="6">
        <v>1</v>
      </c>
      <c r="E14" s="6">
        <v>1</v>
      </c>
      <c r="F14" s="6">
        <v>1</v>
      </c>
      <c r="G14" s="6">
        <f>$C$6-$D$13*D14-$E$13*E14-$F$13*F14</f>
        <v>50</v>
      </c>
      <c r="H14" s="7">
        <v>12</v>
      </c>
    </row>
    <row r="15" spans="3:8" x14ac:dyDescent="0.25">
      <c r="C15" s="6">
        <v>2</v>
      </c>
      <c r="D15" s="6">
        <v>0</v>
      </c>
      <c r="E15" s="6">
        <v>2</v>
      </c>
      <c r="F15" s="6">
        <v>4</v>
      </c>
      <c r="G15" s="6">
        <f t="shared" ref="G15:G18" si="0">$C$6-$D$13*D15-$E$13*E15-$F$13*F15</f>
        <v>60</v>
      </c>
      <c r="H15" s="7">
        <v>29</v>
      </c>
    </row>
    <row r="16" spans="3:8" x14ac:dyDescent="0.25">
      <c r="C16" s="6">
        <v>3</v>
      </c>
      <c r="D16" s="6">
        <v>1</v>
      </c>
      <c r="E16" s="6">
        <v>0</v>
      </c>
      <c r="F16" s="6">
        <v>5</v>
      </c>
      <c r="G16" s="6">
        <f t="shared" si="0"/>
        <v>200</v>
      </c>
      <c r="H16" s="7">
        <v>0</v>
      </c>
    </row>
    <row r="17" spans="3:8" x14ac:dyDescent="0.25">
      <c r="C17" s="6">
        <v>4</v>
      </c>
      <c r="D17" s="6">
        <v>0</v>
      </c>
      <c r="E17" s="6">
        <v>1</v>
      </c>
      <c r="F17" s="6">
        <v>8</v>
      </c>
      <c r="G17" s="6">
        <f t="shared" si="0"/>
        <v>210</v>
      </c>
      <c r="H17" s="7">
        <v>0</v>
      </c>
    </row>
    <row r="18" spans="3:8" x14ac:dyDescent="0.25">
      <c r="C18" s="6">
        <v>5</v>
      </c>
      <c r="D18" s="6">
        <v>0</v>
      </c>
      <c r="E18" s="6">
        <v>0</v>
      </c>
      <c r="F18" s="6">
        <v>13</v>
      </c>
      <c r="G18" s="6">
        <f t="shared" si="0"/>
        <v>140</v>
      </c>
      <c r="H18" s="7">
        <v>0</v>
      </c>
    </row>
    <row r="19" spans="3:8" ht="45.75" customHeight="1" x14ac:dyDescent="0.25">
      <c r="C19" s="2" t="s">
        <v>15</v>
      </c>
      <c r="D19" s="6">
        <f>SUMPRODUCT(D14:D18,$H$14:$H$18)</f>
        <v>12</v>
      </c>
      <c r="E19" s="6">
        <f>SUMPRODUCT(E14:E18,$H$14:$H$18)</f>
        <v>70</v>
      </c>
      <c r="F19" s="6">
        <f>SUMPRODUCT(F14:F18,$H$14:$H$18)</f>
        <v>128</v>
      </c>
      <c r="G19" s="14" t="s">
        <v>17</v>
      </c>
      <c r="H19" s="15">
        <f>SUMPRODUCT(G14:G18,$H$14:$H$18)</f>
        <v>2340</v>
      </c>
    </row>
    <row r="20" spans="3:8" ht="63" customHeight="1" x14ac:dyDescent="0.25">
      <c r="C20" s="2" t="s">
        <v>16</v>
      </c>
      <c r="D20" s="8">
        <f>C10</f>
        <v>11</v>
      </c>
      <c r="E20" s="8">
        <f t="shared" ref="E20:F20" si="1">D10</f>
        <v>70</v>
      </c>
      <c r="F20" s="8">
        <f t="shared" si="1"/>
        <v>14</v>
      </c>
      <c r="G20" s="14"/>
      <c r="H20" s="15"/>
    </row>
  </sheetData>
  <mergeCells count="7">
    <mergeCell ref="G19:G20"/>
    <mergeCell ref="H19:H20"/>
    <mergeCell ref="C8:E8"/>
    <mergeCell ref="C12:C13"/>
    <mergeCell ref="D12:F12"/>
    <mergeCell ref="G12:G13"/>
    <mergeCell ref="H12:H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5DFA-1263-4DA9-95EF-BFE3CB643877}">
  <dimension ref="C6:H20"/>
  <sheetViews>
    <sheetView topLeftCell="B1" workbookViewId="0">
      <selection activeCell="H16" sqref="H16"/>
    </sheetView>
  </sheetViews>
  <sheetFormatPr defaultRowHeight="15" x14ac:dyDescent="0.25"/>
  <cols>
    <col min="3" max="3" width="20.7109375" customWidth="1"/>
    <col min="4" max="4" width="14.7109375" customWidth="1"/>
    <col min="5" max="5" width="15.42578125" customWidth="1"/>
    <col min="6" max="6" width="16.7109375" customWidth="1"/>
    <col min="7" max="7" width="25.42578125" customWidth="1"/>
    <col min="8" max="8" width="17.85546875" customWidth="1"/>
  </cols>
  <sheetData>
    <row r="6" spans="3:8" x14ac:dyDescent="0.25">
      <c r="C6">
        <v>4400</v>
      </c>
    </row>
    <row r="8" spans="3:8" x14ac:dyDescent="0.25">
      <c r="C8" s="14" t="s">
        <v>9</v>
      </c>
      <c r="D8" s="14"/>
      <c r="E8" s="14"/>
      <c r="G8" s="9"/>
    </row>
    <row r="9" spans="3:8" x14ac:dyDescent="0.25">
      <c r="C9" s="3">
        <v>1700</v>
      </c>
      <c r="D9" s="3">
        <v>1030</v>
      </c>
      <c r="E9" s="3">
        <v>220</v>
      </c>
      <c r="G9" s="10"/>
    </row>
    <row r="10" spans="3:8" x14ac:dyDescent="0.25">
      <c r="C10" s="3">
        <v>11</v>
      </c>
      <c r="D10" s="3">
        <v>70</v>
      </c>
      <c r="E10" s="3">
        <v>14</v>
      </c>
    </row>
    <row r="12" spans="3:8" ht="45" customHeight="1" x14ac:dyDescent="0.25">
      <c r="C12" s="16" t="s">
        <v>11</v>
      </c>
      <c r="D12" s="16" t="s">
        <v>12</v>
      </c>
      <c r="E12" s="16"/>
      <c r="F12" s="16"/>
      <c r="G12" s="14" t="s">
        <v>13</v>
      </c>
      <c r="H12" s="13" t="s">
        <v>14</v>
      </c>
    </row>
    <row r="13" spans="3:8" ht="56.25" customHeight="1" x14ac:dyDescent="0.25">
      <c r="C13" s="16"/>
      <c r="D13" s="6">
        <v>1700</v>
      </c>
      <c r="E13" s="6">
        <v>1030</v>
      </c>
      <c r="F13" s="6">
        <v>220</v>
      </c>
      <c r="G13" s="14"/>
      <c r="H13" s="13"/>
    </row>
    <row r="14" spans="3:8" x14ac:dyDescent="0.25">
      <c r="C14" s="6">
        <v>1</v>
      </c>
      <c r="D14" s="6">
        <v>1</v>
      </c>
      <c r="E14" s="6">
        <v>1</v>
      </c>
      <c r="F14" s="6">
        <v>1</v>
      </c>
      <c r="G14" s="6">
        <f>$C$6-$D$13*D14-$E$13*E14-$F$13*F14</f>
        <v>1450</v>
      </c>
      <c r="H14" s="7">
        <v>12</v>
      </c>
    </row>
    <row r="15" spans="3:8" x14ac:dyDescent="0.25">
      <c r="C15" s="6">
        <v>2</v>
      </c>
      <c r="D15" s="6">
        <v>0</v>
      </c>
      <c r="E15" s="6">
        <v>2</v>
      </c>
      <c r="F15" s="6">
        <v>4</v>
      </c>
      <c r="G15" s="6">
        <f t="shared" ref="G15:G18" si="0">$C$6-$D$13*D15-$E$13*E15-$F$13*F15</f>
        <v>1460</v>
      </c>
      <c r="H15" s="7">
        <v>29</v>
      </c>
    </row>
    <row r="16" spans="3:8" x14ac:dyDescent="0.25">
      <c r="C16" s="6">
        <v>3</v>
      </c>
      <c r="D16" s="6">
        <v>1</v>
      </c>
      <c r="E16" s="6">
        <v>0</v>
      </c>
      <c r="F16" s="6">
        <v>5</v>
      </c>
      <c r="G16" s="6">
        <f t="shared" si="0"/>
        <v>1600</v>
      </c>
      <c r="H16" s="7">
        <v>0</v>
      </c>
    </row>
    <row r="17" spans="3:8" x14ac:dyDescent="0.25">
      <c r="C17" s="6">
        <v>4</v>
      </c>
      <c r="D17" s="6">
        <v>0</v>
      </c>
      <c r="E17" s="6">
        <v>1</v>
      </c>
      <c r="F17" s="6">
        <v>8</v>
      </c>
      <c r="G17" s="6">
        <f t="shared" si="0"/>
        <v>1610</v>
      </c>
      <c r="H17" s="7">
        <v>0</v>
      </c>
    </row>
    <row r="18" spans="3:8" x14ac:dyDescent="0.25">
      <c r="C18" s="6">
        <v>5</v>
      </c>
      <c r="D18" s="6">
        <v>0</v>
      </c>
      <c r="E18" s="6">
        <v>0</v>
      </c>
      <c r="F18" s="6">
        <v>13</v>
      </c>
      <c r="G18" s="6">
        <f t="shared" si="0"/>
        <v>1540</v>
      </c>
      <c r="H18" s="7">
        <v>0</v>
      </c>
    </row>
    <row r="19" spans="3:8" ht="45.75" customHeight="1" x14ac:dyDescent="0.25">
      <c r="C19" s="2" t="s">
        <v>15</v>
      </c>
      <c r="D19" s="6">
        <f>SUMPRODUCT(D14:D18,$H$14:$H$18)</f>
        <v>12</v>
      </c>
      <c r="E19" s="6">
        <f>SUMPRODUCT(E14:E18,$H$14:$H$18)</f>
        <v>70</v>
      </c>
      <c r="F19" s="6">
        <f>SUMPRODUCT(F14:F18,$H$14:$H$18)</f>
        <v>128</v>
      </c>
      <c r="G19" s="14" t="s">
        <v>17</v>
      </c>
      <c r="H19" s="15">
        <f>SUMPRODUCT(G14:G18,$H$14:$H$18)</f>
        <v>59740</v>
      </c>
    </row>
    <row r="20" spans="3:8" ht="63" customHeight="1" x14ac:dyDescent="0.25">
      <c r="C20" s="2" t="s">
        <v>16</v>
      </c>
      <c r="D20" s="8">
        <f>C10</f>
        <v>11</v>
      </c>
      <c r="E20" s="8">
        <f t="shared" ref="E20:F20" si="1">D10</f>
        <v>70</v>
      </c>
      <c r="F20" s="8">
        <f t="shared" si="1"/>
        <v>14</v>
      </c>
      <c r="G20" s="14"/>
      <c r="H20" s="15"/>
    </row>
  </sheetData>
  <mergeCells count="7">
    <mergeCell ref="G19:G20"/>
    <mergeCell ref="H19:H20"/>
    <mergeCell ref="C8:E8"/>
    <mergeCell ref="C12:C13"/>
    <mergeCell ref="D12:F12"/>
    <mergeCell ref="G12:G13"/>
    <mergeCell ref="H12:H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2_1</vt:lpstr>
      <vt:lpstr>2_2</vt:lpstr>
      <vt:lpstr>2_3 (2)</vt:lpstr>
      <vt:lpstr>2_3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Sofiia Shkola</dc:creator>
  <cp:lastModifiedBy>Sofiia Shkola</cp:lastModifiedBy>
  <dcterms:created xsi:type="dcterms:W3CDTF">2025-09-24T13:21:49Z</dcterms:created>
  <dcterms:modified xsi:type="dcterms:W3CDTF">2025-12-11T18:17:39Z</dcterms:modified>
</cp:coreProperties>
</file>