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нивер\4 курс\Економічна кібернетика\"/>
    </mc:Choice>
  </mc:AlternateContent>
  <xr:revisionPtr revIDLastSave="0" documentId="13_ncr:1_{33C6F5E4-C299-4791-9E85-B181B2A0EF05}" xr6:coauthVersionLast="47" xr6:coauthVersionMax="47" xr10:uidLastSave="{00000000-0000-0000-0000-000000000000}"/>
  <bookViews>
    <workbookView xWindow="-120" yWindow="-120" windowWidth="29040" windowHeight="15720" tabRatio="939" firstSheet="1" activeTab="13" xr2:uid="{7E2B45B8-FA6A-4C7C-9F83-3F482A3142F1}"/>
  </bookViews>
  <sheets>
    <sheet name="1_1" sheetId="1" r:id="rId1"/>
    <sheet name="Отчет об устойчивости 1" sheetId="6" r:id="rId2"/>
    <sheet name="Отчет о результатах 1" sheetId="5" r:id="rId3"/>
    <sheet name="Отчет о пределах 1" sheetId="7" r:id="rId4"/>
    <sheet name="1_2" sheetId="8" r:id="rId5"/>
    <sheet name="Отчет об устойчивости 2" sheetId="17" r:id="rId6"/>
    <sheet name="1_3" sheetId="18" r:id="rId7"/>
    <sheet name="Отчет об устойчивости 3" sheetId="24" r:id="rId8"/>
    <sheet name="1_4" sheetId="25" r:id="rId9"/>
    <sheet name="Отчет об устойчивости 4" sheetId="26" r:id="rId10"/>
    <sheet name="1_5" sheetId="27" r:id="rId11"/>
    <sheet name="1_6" sheetId="28" r:id="rId12"/>
    <sheet name="Отчет об устойчивости 5" sheetId="29" r:id="rId13"/>
    <sheet name="1_7" sheetId="30" r:id="rId14"/>
    <sheet name="1_7 (2)" sheetId="31" r:id="rId15"/>
    <sheet name="1_7 (3)" sheetId="32" r:id="rId16"/>
    <sheet name="1_7 (4)" sheetId="33" r:id="rId17"/>
    <sheet name="1_8" sheetId="34" r:id="rId18"/>
    <sheet name="1_8 (2)" sheetId="35" r:id="rId19"/>
  </sheets>
  <definedNames>
    <definedName name="solver_adj" localSheetId="0" hidden="1">'1_1'!$D$8:$E$8</definedName>
    <definedName name="solver_adj" localSheetId="4" hidden="1">'1_2'!$D$9:$E$9</definedName>
    <definedName name="solver_adj" localSheetId="6" hidden="1">'1_3'!$C$12:$D$13</definedName>
    <definedName name="solver_adj" localSheetId="8" hidden="1">'1_4'!$C$10:$D$10</definedName>
    <definedName name="solver_adj" localSheetId="10" hidden="1">'1_5'!$D$9:$E$9</definedName>
    <definedName name="solver_adj" localSheetId="11" hidden="1">'1_6'!$C$8:$D$8</definedName>
    <definedName name="solver_adj" localSheetId="13" hidden="1">'1_7'!$C$10:$E$10</definedName>
    <definedName name="solver_adj" localSheetId="14" hidden="1">'1_7 (2)'!$C$10:$E$10</definedName>
    <definedName name="solver_adj" localSheetId="15" hidden="1">'1_7 (3)'!$C$10:$E$10</definedName>
    <definedName name="solver_adj" localSheetId="16" hidden="1">'1_7 (4)'!$C$10:$E$10</definedName>
    <definedName name="solver_adj" localSheetId="17" hidden="1">'1_8'!$C$14:$D$15</definedName>
    <definedName name="solver_adj" localSheetId="18" hidden="1">'1_8 (2)'!$C$14:$D$15</definedName>
    <definedName name="solver_cvg" localSheetId="0" hidden="1">0.0001</definedName>
    <definedName name="solver_cvg" localSheetId="4" hidden="1">0.0001</definedName>
    <definedName name="solver_cvg" localSheetId="6" hidden="1">0.0001</definedName>
    <definedName name="solver_cvg" localSheetId="8" hidden="1">0.0001</definedName>
    <definedName name="solver_cvg" localSheetId="10" hidden="1">0.0001</definedName>
    <definedName name="solver_cvg" localSheetId="11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drv" localSheetId="0" hidden="1">1</definedName>
    <definedName name="solver_drv" localSheetId="4" hidden="1">1</definedName>
    <definedName name="solver_drv" localSheetId="6" hidden="1">1</definedName>
    <definedName name="solver_drv" localSheetId="8" hidden="1">1</definedName>
    <definedName name="solver_drv" localSheetId="10" hidden="1">1</definedName>
    <definedName name="solver_drv" localSheetId="11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eng" localSheetId="0" hidden="1">2</definedName>
    <definedName name="solver_eng" localSheetId="4" hidden="1">2</definedName>
    <definedName name="solver_eng" localSheetId="6" hidden="1">2</definedName>
    <definedName name="solver_eng" localSheetId="8" hidden="1">2</definedName>
    <definedName name="solver_eng" localSheetId="10" hidden="1">2</definedName>
    <definedName name="solver_eng" localSheetId="11" hidden="1">2</definedName>
    <definedName name="solver_eng" localSheetId="13" hidden="1">2</definedName>
    <definedName name="solver_eng" localSheetId="14" hidden="1">2</definedName>
    <definedName name="solver_eng" localSheetId="15" hidden="1">2</definedName>
    <definedName name="solver_eng" localSheetId="16" hidden="1">2</definedName>
    <definedName name="solver_eng" localSheetId="17" hidden="1">2</definedName>
    <definedName name="solver_eng" localSheetId="18" hidden="1">2</definedName>
    <definedName name="solver_est" localSheetId="0" hidden="1">1</definedName>
    <definedName name="solver_est" localSheetId="4" hidden="1">1</definedName>
    <definedName name="solver_est" localSheetId="6" hidden="1">1</definedName>
    <definedName name="solver_est" localSheetId="8" hidden="1">1</definedName>
    <definedName name="solver_est" localSheetId="10" hidden="1">1</definedName>
    <definedName name="solver_est" localSheetId="11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itr" localSheetId="0" hidden="1">2147483647</definedName>
    <definedName name="solver_itr" localSheetId="4" hidden="1">2147483647</definedName>
    <definedName name="solver_itr" localSheetId="6" hidden="1">2147483647</definedName>
    <definedName name="solver_itr" localSheetId="8" hidden="1">2147483647</definedName>
    <definedName name="solver_itr" localSheetId="10" hidden="1">2147483647</definedName>
    <definedName name="solver_itr" localSheetId="11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lhs1" localSheetId="0" hidden="1">'1_1'!$F$5</definedName>
    <definedName name="solver_lhs1" localSheetId="4" hidden="1">'1_2'!$H$5</definedName>
    <definedName name="solver_lhs1" localSheetId="6" hidden="1">'1_3'!$C$10</definedName>
    <definedName name="solver_lhs1" localSheetId="8" hidden="1">'1_4'!$E$6</definedName>
    <definedName name="solver_lhs1" localSheetId="10" hidden="1">'1_5'!$D$9:$E$9</definedName>
    <definedName name="solver_lhs1" localSheetId="11" hidden="1">'1_6'!$F$6</definedName>
    <definedName name="solver_lhs1" localSheetId="13" hidden="1">'1_7'!$C$10:$E$10</definedName>
    <definedName name="solver_lhs1" localSheetId="14" hidden="1">'1_7 (2)'!$C$10:$E$10</definedName>
    <definedName name="solver_lhs1" localSheetId="15" hidden="1">'1_7 (3)'!$C$10:$E$10</definedName>
    <definedName name="solver_lhs1" localSheetId="16" hidden="1">'1_7 (4)'!$C$10:$E$10</definedName>
    <definedName name="solver_lhs1" localSheetId="17" hidden="1">'1_8'!$C$13</definedName>
    <definedName name="solver_lhs1" localSheetId="18" hidden="1">'1_8 (2)'!$C$13</definedName>
    <definedName name="solver_lhs2" localSheetId="0" hidden="1">'1_1'!$F$6</definedName>
    <definedName name="solver_lhs2" localSheetId="4" hidden="1">'1_2'!$H$6</definedName>
    <definedName name="solver_lhs2" localSheetId="6" hidden="1">'1_3'!$C$12</definedName>
    <definedName name="solver_lhs2" localSheetId="8" hidden="1">'1_4'!$E$7</definedName>
    <definedName name="solver_lhs2" localSheetId="10" hidden="1">'1_5'!$D$9:$E$9</definedName>
    <definedName name="solver_lhs2" localSheetId="11" hidden="1">'1_6'!$F$7</definedName>
    <definedName name="solver_lhs2" localSheetId="13" hidden="1">'1_7'!$F$6</definedName>
    <definedName name="solver_lhs2" localSheetId="14" hidden="1">'1_7 (2)'!$F$6</definedName>
    <definedName name="solver_lhs2" localSheetId="15" hidden="1">'1_7 (3)'!$F$6</definedName>
    <definedName name="solver_lhs2" localSheetId="16" hidden="1">'1_7 (4)'!$F$6</definedName>
    <definedName name="solver_lhs2" localSheetId="17" hidden="1">'1_8'!$C$14:$D$15</definedName>
    <definedName name="solver_lhs2" localSheetId="18" hidden="1">'1_8 (2)'!$C$14:$D$15</definedName>
    <definedName name="solver_lhs3" localSheetId="4" hidden="1">'1_2'!$H$7</definedName>
    <definedName name="solver_lhs3" localSheetId="6" hidden="1">'1_3'!$D$10</definedName>
    <definedName name="solver_lhs3" localSheetId="8" hidden="1">'1_4'!$E$8</definedName>
    <definedName name="solver_lhs3" localSheetId="10" hidden="1">'1_5'!$F$6</definedName>
    <definedName name="solver_lhs3" localSheetId="13" hidden="1">'1_7'!$F$7</definedName>
    <definedName name="solver_lhs3" localSheetId="14" hidden="1">'1_7 (2)'!$F$7</definedName>
    <definedName name="solver_lhs3" localSheetId="15" hidden="1">'1_7 (3)'!$F$7</definedName>
    <definedName name="solver_lhs3" localSheetId="16" hidden="1">'1_7 (4)'!$F$7</definedName>
    <definedName name="solver_lhs3" localSheetId="17" hidden="1">'1_8'!$C$14:$D$15</definedName>
    <definedName name="solver_lhs3" localSheetId="18" hidden="1">'1_8 (2)'!$C$14:$D$15</definedName>
    <definedName name="solver_lhs4" localSheetId="4" hidden="1">'1_2'!$H$7</definedName>
    <definedName name="solver_lhs4" localSheetId="6" hidden="1">'1_3'!$E$6</definedName>
    <definedName name="solver_lhs4" localSheetId="10" hidden="1">'1_5'!$F$7</definedName>
    <definedName name="solver_lhs4" localSheetId="13" hidden="1">'1_7'!$F$8</definedName>
    <definedName name="solver_lhs4" localSheetId="14" hidden="1">'1_7 (2)'!$F$8</definedName>
    <definedName name="solver_lhs4" localSheetId="15" hidden="1">'1_7 (3)'!$F$8</definedName>
    <definedName name="solver_lhs4" localSheetId="16" hidden="1">'1_7 (4)'!$F$8</definedName>
    <definedName name="solver_lhs4" localSheetId="17" hidden="1">'1_8'!$D$13</definedName>
    <definedName name="solver_lhs4" localSheetId="18" hidden="1">'1_8 (2)'!$D$13</definedName>
    <definedName name="solver_lhs5" localSheetId="6" hidden="1">'1_3'!$E$7</definedName>
    <definedName name="solver_lhs5" localSheetId="17" hidden="1">'1_8'!$E$6</definedName>
    <definedName name="solver_lhs5" localSheetId="18" hidden="1">'1_8 (2)'!$E$6</definedName>
    <definedName name="solver_lhs6" localSheetId="17" hidden="1">'1_8'!$E$7</definedName>
    <definedName name="solver_lhs6" localSheetId="18" hidden="1">'1_8 (2)'!$E$7</definedName>
    <definedName name="solver_lhs7" localSheetId="17" hidden="1">'1_8'!$E$8</definedName>
    <definedName name="solver_lhs7" localSheetId="18" hidden="1">'1_8 (2)'!$E$8</definedName>
    <definedName name="solver_mip" localSheetId="0" hidden="1">2147483647</definedName>
    <definedName name="solver_mip" localSheetId="4" hidden="1">2147483647</definedName>
    <definedName name="solver_mip" localSheetId="6" hidden="1">2147483647</definedName>
    <definedName name="solver_mip" localSheetId="8" hidden="1">2147483647</definedName>
    <definedName name="solver_mip" localSheetId="10" hidden="1">2147483647</definedName>
    <definedName name="solver_mip" localSheetId="11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ni" localSheetId="0" hidden="1">30</definedName>
    <definedName name="solver_mni" localSheetId="4" hidden="1">30</definedName>
    <definedName name="solver_mni" localSheetId="6" hidden="1">30</definedName>
    <definedName name="solver_mni" localSheetId="8" hidden="1">30</definedName>
    <definedName name="solver_mni" localSheetId="10" hidden="1">30</definedName>
    <definedName name="solver_mni" localSheetId="11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rt" localSheetId="0" hidden="1">0.075</definedName>
    <definedName name="solver_mrt" localSheetId="4" hidden="1">0.075</definedName>
    <definedName name="solver_mrt" localSheetId="6" hidden="1">0.075</definedName>
    <definedName name="solver_mrt" localSheetId="8" hidden="1">0.075</definedName>
    <definedName name="solver_mrt" localSheetId="10" hidden="1">0.075</definedName>
    <definedName name="solver_mrt" localSheetId="11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sl" localSheetId="0" hidden="1">2</definedName>
    <definedName name="solver_msl" localSheetId="4" hidden="1">2</definedName>
    <definedName name="solver_msl" localSheetId="6" hidden="1">2</definedName>
    <definedName name="solver_msl" localSheetId="8" hidden="1">2</definedName>
    <definedName name="solver_msl" localSheetId="10" hidden="1">2</definedName>
    <definedName name="solver_msl" localSheetId="11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neg" localSheetId="0" hidden="1">1</definedName>
    <definedName name="solver_neg" localSheetId="4" hidden="1">1</definedName>
    <definedName name="solver_neg" localSheetId="6" hidden="1">1</definedName>
    <definedName name="solver_neg" localSheetId="8" hidden="1">1</definedName>
    <definedName name="solver_neg" localSheetId="10" hidden="1">1</definedName>
    <definedName name="solver_neg" localSheetId="11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od" localSheetId="0" hidden="1">2147483647</definedName>
    <definedName name="solver_nod" localSheetId="4" hidden="1">2147483647</definedName>
    <definedName name="solver_nod" localSheetId="6" hidden="1">2147483647</definedName>
    <definedName name="solver_nod" localSheetId="8" hidden="1">2147483647</definedName>
    <definedName name="solver_nod" localSheetId="10" hidden="1">2147483647</definedName>
    <definedName name="solver_nod" localSheetId="11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um" localSheetId="0" hidden="1">2</definedName>
    <definedName name="solver_num" localSheetId="4" hidden="1">3</definedName>
    <definedName name="solver_num" localSheetId="6" hidden="1">5</definedName>
    <definedName name="solver_num" localSheetId="8" hidden="1">3</definedName>
    <definedName name="solver_num" localSheetId="10" hidden="1">4</definedName>
    <definedName name="solver_num" localSheetId="11" hidden="1">2</definedName>
    <definedName name="solver_num" localSheetId="13" hidden="1">4</definedName>
    <definedName name="solver_num" localSheetId="14" hidden="1">4</definedName>
    <definedName name="solver_num" localSheetId="15" hidden="1">4</definedName>
    <definedName name="solver_num" localSheetId="16" hidden="1">4</definedName>
    <definedName name="solver_num" localSheetId="17" hidden="1">7</definedName>
    <definedName name="solver_num" localSheetId="18" hidden="1">7</definedName>
    <definedName name="solver_nwt" localSheetId="0" hidden="1">1</definedName>
    <definedName name="solver_nwt" localSheetId="4" hidden="1">1</definedName>
    <definedName name="solver_nwt" localSheetId="6" hidden="1">1</definedName>
    <definedName name="solver_nwt" localSheetId="8" hidden="1">1</definedName>
    <definedName name="solver_nwt" localSheetId="10" hidden="1">1</definedName>
    <definedName name="solver_nwt" localSheetId="11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opt" localSheetId="0" hidden="1">'1_1'!$F$7</definedName>
    <definedName name="solver_opt" localSheetId="4" hidden="1">'1_2'!$H$8</definedName>
    <definedName name="solver_opt" localSheetId="6" hidden="1">'1_3'!$G$8</definedName>
    <definedName name="solver_opt" localSheetId="8" hidden="1">'1_4'!$G$9</definedName>
    <definedName name="solver_opt" localSheetId="10" hidden="1">'1_5'!$H$8</definedName>
    <definedName name="solver_opt" localSheetId="11" hidden="1">'1_6'!$G$8</definedName>
    <definedName name="solver_opt" localSheetId="13" hidden="1">'1_7'!$H$9</definedName>
    <definedName name="solver_opt" localSheetId="14" hidden="1">'1_7 (2)'!$H$9</definedName>
    <definedName name="solver_opt" localSheetId="15" hidden="1">'1_7 (3)'!$H$9</definedName>
    <definedName name="solver_opt" localSheetId="16" hidden="1">'1_7 (4)'!$H$9</definedName>
    <definedName name="solver_opt" localSheetId="17" hidden="1">'1_8'!$G$11</definedName>
    <definedName name="solver_opt" localSheetId="18" hidden="1">'1_8 (2)'!$G$11</definedName>
    <definedName name="solver_pre" localSheetId="0" hidden="1">0.000001</definedName>
    <definedName name="solver_pre" localSheetId="4" hidden="1">0.000001</definedName>
    <definedName name="solver_pre" localSheetId="6" hidden="1">0.000001</definedName>
    <definedName name="solver_pre" localSheetId="8" hidden="1">0.000001</definedName>
    <definedName name="solver_pre" localSheetId="10" hidden="1">0.000001</definedName>
    <definedName name="solver_pre" localSheetId="11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rbv" localSheetId="0" hidden="1">1</definedName>
    <definedName name="solver_rbv" localSheetId="4" hidden="1">1</definedName>
    <definedName name="solver_rbv" localSheetId="6" hidden="1">1</definedName>
    <definedName name="solver_rbv" localSheetId="8" hidden="1">1</definedName>
    <definedName name="solver_rbv" localSheetId="10" hidden="1">1</definedName>
    <definedName name="solver_rbv" localSheetId="11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el1" localSheetId="0" hidden="1">1</definedName>
    <definedName name="solver_rel1" localSheetId="4" hidden="1">1</definedName>
    <definedName name="solver_rel1" localSheetId="6" hidden="1">2</definedName>
    <definedName name="solver_rel1" localSheetId="8" hidden="1">1</definedName>
    <definedName name="solver_rel1" localSheetId="10" hidden="1">4</definedName>
    <definedName name="solver_rel1" localSheetId="11" hidden="1">2</definedName>
    <definedName name="solver_rel1" localSheetId="13" hidden="1">4</definedName>
    <definedName name="solver_rel1" localSheetId="14" hidden="1">4</definedName>
    <definedName name="solver_rel1" localSheetId="15" hidden="1">4</definedName>
    <definedName name="solver_rel1" localSheetId="16" hidden="1">4</definedName>
    <definedName name="solver_rel1" localSheetId="17" hidden="1">2</definedName>
    <definedName name="solver_rel1" localSheetId="18" hidden="1">2</definedName>
    <definedName name="solver_rel2" localSheetId="0" hidden="1">1</definedName>
    <definedName name="solver_rel2" localSheetId="4" hidden="1">1</definedName>
    <definedName name="solver_rel2" localSheetId="6" hidden="1">2</definedName>
    <definedName name="solver_rel2" localSheetId="8" hidden="1">1</definedName>
    <definedName name="solver_rel2" localSheetId="10" hidden="1">3</definedName>
    <definedName name="solver_rel2" localSheetId="11" hidden="1">2</definedName>
    <definedName name="solver_rel2" localSheetId="13" hidden="1">1</definedName>
    <definedName name="solver_rel2" localSheetId="14" hidden="1">1</definedName>
    <definedName name="solver_rel2" localSheetId="15" hidden="1">1</definedName>
    <definedName name="solver_rel2" localSheetId="16" hidden="1">1</definedName>
    <definedName name="solver_rel2" localSheetId="17" hidden="1">4</definedName>
    <definedName name="solver_rel2" localSheetId="18" hidden="1">4</definedName>
    <definedName name="solver_rel3" localSheetId="4" hidden="1">1</definedName>
    <definedName name="solver_rel3" localSheetId="6" hidden="1">2</definedName>
    <definedName name="solver_rel3" localSheetId="8" hidden="1">1</definedName>
    <definedName name="solver_rel3" localSheetId="10" hidden="1">1</definedName>
    <definedName name="solver_rel3" localSheetId="13" hidden="1">1</definedName>
    <definedName name="solver_rel3" localSheetId="14" hidden="1">1</definedName>
    <definedName name="solver_rel3" localSheetId="15" hidden="1">1</definedName>
    <definedName name="solver_rel3" localSheetId="16" hidden="1">1</definedName>
    <definedName name="solver_rel3" localSheetId="17" hidden="1">3</definedName>
    <definedName name="solver_rel3" localSheetId="18" hidden="1">3</definedName>
    <definedName name="solver_rel4" localSheetId="4" hidden="1">1</definedName>
    <definedName name="solver_rel4" localSheetId="6" hidden="1">1</definedName>
    <definedName name="solver_rel4" localSheetId="10" hidden="1">1</definedName>
    <definedName name="solver_rel4" localSheetId="13" hidden="1">1</definedName>
    <definedName name="solver_rel4" localSheetId="14" hidden="1">1</definedName>
    <definedName name="solver_rel4" localSheetId="15" hidden="1">1</definedName>
    <definedName name="solver_rel4" localSheetId="16" hidden="1">1</definedName>
    <definedName name="solver_rel4" localSheetId="17" hidden="1">2</definedName>
    <definedName name="solver_rel4" localSheetId="18" hidden="1">2</definedName>
    <definedName name="solver_rel5" localSheetId="6" hidden="1">1</definedName>
    <definedName name="solver_rel5" localSheetId="17" hidden="1">1</definedName>
    <definedName name="solver_rel5" localSheetId="18" hidden="1">1</definedName>
    <definedName name="solver_rel6" localSheetId="17" hidden="1">1</definedName>
    <definedName name="solver_rel6" localSheetId="18" hidden="1">1</definedName>
    <definedName name="solver_rel7" localSheetId="17" hidden="1">1</definedName>
    <definedName name="solver_rel7" localSheetId="18" hidden="1">1</definedName>
    <definedName name="solver_rhs1" localSheetId="0" hidden="1">'1_1'!$H$5</definedName>
    <definedName name="solver_rhs1" localSheetId="4" hidden="1">'1_2'!$G$5</definedName>
    <definedName name="solver_rhs1" localSheetId="6" hidden="1">'1_3'!$C$11</definedName>
    <definedName name="solver_rhs1" localSheetId="8" hidden="1">'1_4'!$G$6</definedName>
    <definedName name="solver_rhs1" localSheetId="10" hidden="1">"целое"</definedName>
    <definedName name="solver_rhs1" localSheetId="11" hidden="1">'1_6'!$E$6</definedName>
    <definedName name="solver_rhs1" localSheetId="13" hidden="1">"целое"</definedName>
    <definedName name="solver_rhs1" localSheetId="14" hidden="1">"целое"</definedName>
    <definedName name="solver_rhs1" localSheetId="15" hidden="1">"целое"</definedName>
    <definedName name="solver_rhs1" localSheetId="16" hidden="1">"целое"</definedName>
    <definedName name="solver_rhs1" localSheetId="17" hidden="1">'1_8'!$C$12</definedName>
    <definedName name="solver_rhs1" localSheetId="18" hidden="1">'1_8 (2)'!$C$12</definedName>
    <definedName name="solver_rhs2" localSheetId="0" hidden="1">'1_1'!$H$6</definedName>
    <definedName name="solver_rhs2" localSheetId="4" hidden="1">'1_2'!$G$6</definedName>
    <definedName name="solver_rhs2" localSheetId="6" hidden="1">5</definedName>
    <definedName name="solver_rhs2" localSheetId="8" hidden="1">'1_4'!$G$7</definedName>
    <definedName name="solver_rhs2" localSheetId="10" hidden="1">0</definedName>
    <definedName name="solver_rhs2" localSheetId="11" hidden="1">'1_6'!$E$7</definedName>
    <definedName name="solver_rhs2" localSheetId="13" hidden="1">'1_7'!$H$6</definedName>
    <definedName name="solver_rhs2" localSheetId="14" hidden="1">'1_7 (2)'!$H$6</definedName>
    <definedName name="solver_rhs2" localSheetId="15" hidden="1">'1_7 (3)'!$H$6</definedName>
    <definedName name="solver_rhs2" localSheetId="16" hidden="1">'1_7 (4)'!$H$6</definedName>
    <definedName name="solver_rhs2" localSheetId="17" hidden="1">"целое"</definedName>
    <definedName name="solver_rhs2" localSheetId="18" hidden="1">"целое"</definedName>
    <definedName name="solver_rhs3" localSheetId="4" hidden="1">'1_2'!$G$7</definedName>
    <definedName name="solver_rhs3" localSheetId="6" hidden="1">'1_3'!$D$11</definedName>
    <definedName name="solver_rhs3" localSheetId="8" hidden="1">'1_4'!$G$8</definedName>
    <definedName name="solver_rhs3" localSheetId="10" hidden="1">'1_5'!$H$6</definedName>
    <definedName name="solver_rhs3" localSheetId="13" hidden="1">'1_7'!$H$7</definedName>
    <definedName name="solver_rhs3" localSheetId="14" hidden="1">'1_7 (2)'!$H$7</definedName>
    <definedName name="solver_rhs3" localSheetId="15" hidden="1">'1_7 (3)'!$H$7</definedName>
    <definedName name="solver_rhs3" localSheetId="16" hidden="1">'1_7 (4)'!$H$7</definedName>
    <definedName name="solver_rhs3" localSheetId="17" hidden="1">0</definedName>
    <definedName name="solver_rhs3" localSheetId="18" hidden="1">0</definedName>
    <definedName name="solver_rhs4" localSheetId="4" hidden="1">'1_2'!$G$7</definedName>
    <definedName name="solver_rhs4" localSheetId="6" hidden="1">'1_3'!$G$6</definedName>
    <definedName name="solver_rhs4" localSheetId="10" hidden="1">'1_5'!$H$7</definedName>
    <definedName name="solver_rhs4" localSheetId="13" hidden="1">'1_7'!$H$8</definedName>
    <definedName name="solver_rhs4" localSheetId="14" hidden="1">'1_7 (2)'!$H$8</definedName>
    <definedName name="solver_rhs4" localSheetId="15" hidden="1">'1_7 (3)'!$H$8</definedName>
    <definedName name="solver_rhs4" localSheetId="16" hidden="1">'1_7 (4)'!$H$8</definedName>
    <definedName name="solver_rhs4" localSheetId="17" hidden="1">'1_8'!$D$12</definedName>
    <definedName name="solver_rhs4" localSheetId="18" hidden="1">'1_8 (2)'!$D$12</definedName>
    <definedName name="solver_rhs5" localSheetId="6" hidden="1">'1_3'!$G$7</definedName>
    <definedName name="solver_rhs5" localSheetId="17" hidden="1">'1_8'!$G$6</definedName>
    <definedName name="solver_rhs5" localSheetId="18" hidden="1">'1_8 (2)'!$G$6</definedName>
    <definedName name="solver_rhs6" localSheetId="17" hidden="1">'1_8'!$G$7</definedName>
    <definedName name="solver_rhs6" localSheetId="18" hidden="1">'1_8 (2)'!$G$7</definedName>
    <definedName name="solver_rhs7" localSheetId="17" hidden="1">'1_8'!$G$8</definedName>
    <definedName name="solver_rhs7" localSheetId="18" hidden="1">'1_8 (2)'!$G$8</definedName>
    <definedName name="solver_rlx" localSheetId="0" hidden="1">2</definedName>
    <definedName name="solver_rlx" localSheetId="4" hidden="1">2</definedName>
    <definedName name="solver_rlx" localSheetId="6" hidden="1">2</definedName>
    <definedName name="solver_rlx" localSheetId="8" hidden="1">2</definedName>
    <definedName name="solver_rlx" localSheetId="10" hidden="1">2</definedName>
    <definedName name="solver_rlx" localSheetId="11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sd" localSheetId="0" hidden="1">0</definedName>
    <definedName name="solver_rsd" localSheetId="4" hidden="1">0</definedName>
    <definedName name="solver_rsd" localSheetId="6" hidden="1">0</definedName>
    <definedName name="solver_rsd" localSheetId="8" hidden="1">0</definedName>
    <definedName name="solver_rsd" localSheetId="10" hidden="1">0</definedName>
    <definedName name="solver_rsd" localSheetId="11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scl" localSheetId="0" hidden="1">1</definedName>
    <definedName name="solver_scl" localSheetId="4" hidden="1">1</definedName>
    <definedName name="solver_scl" localSheetId="6" hidden="1">1</definedName>
    <definedName name="solver_scl" localSheetId="8" hidden="1">1</definedName>
    <definedName name="solver_scl" localSheetId="10" hidden="1">1</definedName>
    <definedName name="solver_scl" localSheetId="11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ho" localSheetId="0" hidden="1">2</definedName>
    <definedName name="solver_sho" localSheetId="4" hidden="1">2</definedName>
    <definedName name="solver_sho" localSheetId="6" hidden="1">2</definedName>
    <definedName name="solver_sho" localSheetId="8" hidden="1">2</definedName>
    <definedName name="solver_sho" localSheetId="10" hidden="1">2</definedName>
    <definedName name="solver_sho" localSheetId="11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3" hidden="1">2</definedName>
    <definedName name="solver_ssz" localSheetId="0" hidden="1">100</definedName>
    <definedName name="solver_ssz" localSheetId="4" hidden="1">100</definedName>
    <definedName name="solver_ssz" localSheetId="6" hidden="1">100</definedName>
    <definedName name="solver_ssz" localSheetId="8" hidden="1">100</definedName>
    <definedName name="solver_ssz" localSheetId="10" hidden="1">100</definedName>
    <definedName name="solver_ssz" localSheetId="11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tim" localSheetId="0" hidden="1">2147483647</definedName>
    <definedName name="solver_tim" localSheetId="4" hidden="1">2147483647</definedName>
    <definedName name="solver_tim" localSheetId="6" hidden="1">2147483647</definedName>
    <definedName name="solver_tim" localSheetId="8" hidden="1">2147483647</definedName>
    <definedName name="solver_tim" localSheetId="10" hidden="1">2147483647</definedName>
    <definedName name="solver_tim" localSheetId="11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ol" localSheetId="0" hidden="1">0.01</definedName>
    <definedName name="solver_tol" localSheetId="4" hidden="1">0.01</definedName>
    <definedName name="solver_tol" localSheetId="6" hidden="1">0.01</definedName>
    <definedName name="solver_tol" localSheetId="8" hidden="1">0.01</definedName>
    <definedName name="solver_tol" localSheetId="10" hidden="1">0.01</definedName>
    <definedName name="solver_tol" localSheetId="11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yp" localSheetId="0" hidden="1">1</definedName>
    <definedName name="solver_typ" localSheetId="4" hidden="1">1</definedName>
    <definedName name="solver_typ" localSheetId="6" hidden="1">2</definedName>
    <definedName name="solver_typ" localSheetId="8" hidden="1">1</definedName>
    <definedName name="solver_typ" localSheetId="10" hidden="1">1</definedName>
    <definedName name="solver_typ" localSheetId="11" hidden="1">2</definedName>
    <definedName name="solver_typ" localSheetId="13" hidden="1">1</definedName>
    <definedName name="solver_typ" localSheetId="14" hidden="1">1</definedName>
    <definedName name="solver_typ" localSheetId="15" hidden="1">1</definedName>
    <definedName name="solver_typ" localSheetId="16" hidden="1">1</definedName>
    <definedName name="solver_typ" localSheetId="17" hidden="1">2</definedName>
    <definedName name="solver_typ" localSheetId="18" hidden="1">2</definedName>
    <definedName name="solver_val" localSheetId="0" hidden="1">0</definedName>
    <definedName name="solver_val" localSheetId="4" hidden="1">0</definedName>
    <definedName name="solver_val" localSheetId="6" hidden="1">0</definedName>
    <definedName name="solver_val" localSheetId="8" hidden="1">0</definedName>
    <definedName name="solver_val" localSheetId="10" hidden="1">0</definedName>
    <definedName name="solver_val" localSheetId="11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er" localSheetId="0" hidden="1">3</definedName>
    <definedName name="solver_ver" localSheetId="4" hidden="1">3</definedName>
    <definedName name="solver_ver" localSheetId="6" hidden="1">3</definedName>
    <definedName name="solver_ver" localSheetId="8" hidden="1">3</definedName>
    <definedName name="solver_ver" localSheetId="10" hidden="1">3</definedName>
    <definedName name="solver_ver" localSheetId="11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35" l="1"/>
  <c r="C13" i="35"/>
  <c r="D9" i="35"/>
  <c r="G11" i="35" s="1"/>
  <c r="E8" i="35"/>
  <c r="E7" i="35"/>
  <c r="E6" i="35"/>
  <c r="I4" i="35"/>
  <c r="G11" i="34"/>
  <c r="I4" i="34"/>
  <c r="D9" i="34"/>
  <c r="E7" i="34"/>
  <c r="E8" i="34"/>
  <c r="E6" i="34"/>
  <c r="E7" i="18"/>
  <c r="H7" i="18" s="1"/>
  <c r="E6" i="18"/>
  <c r="D13" i="34"/>
  <c r="C13" i="34"/>
  <c r="H9" i="33"/>
  <c r="F8" i="33"/>
  <c r="F7" i="33"/>
  <c r="F6" i="33"/>
  <c r="I7" i="32"/>
  <c r="I8" i="32"/>
  <c r="I6" i="32"/>
  <c r="H9" i="32"/>
  <c r="F8" i="32"/>
  <c r="F7" i="32"/>
  <c r="F6" i="32"/>
  <c r="H9" i="31"/>
  <c r="F8" i="31"/>
  <c r="F7" i="31"/>
  <c r="F6" i="31"/>
  <c r="F7" i="30"/>
  <c r="F8" i="30"/>
  <c r="F6" i="30"/>
  <c r="H9" i="30"/>
  <c r="G8" i="28"/>
  <c r="J8" i="28" s="1"/>
  <c r="H8" i="27"/>
  <c r="F7" i="28"/>
  <c r="F6" i="28"/>
  <c r="F7" i="27"/>
  <c r="F6" i="27"/>
  <c r="G9" i="25"/>
  <c r="E7" i="25"/>
  <c r="E8" i="25"/>
  <c r="E6" i="25"/>
  <c r="G8" i="18"/>
  <c r="I8" i="18" s="1"/>
  <c r="D11" i="18"/>
  <c r="C11" i="18"/>
  <c r="I16" i="8"/>
  <c r="H8" i="8"/>
  <c r="H6" i="8"/>
  <c r="I6" i="8" s="1"/>
  <c r="H7" i="8"/>
  <c r="I7" i="8" s="1"/>
  <c r="H5" i="8"/>
  <c r="I5" i="8" s="1"/>
  <c r="F7" i="1"/>
  <c r="F6" i="1"/>
  <c r="F5" i="1"/>
</calcChain>
</file>

<file path=xl/sharedStrings.xml><?xml version="1.0" encoding="utf-8"?>
<sst xmlns="http://schemas.openxmlformats.org/spreadsheetml/2006/main" count="704" uniqueCount="311">
  <si>
    <t>Продукт 1</t>
  </si>
  <si>
    <t>Продукт 2</t>
  </si>
  <si>
    <t>Запаси фізичні</t>
  </si>
  <si>
    <t>Знак обмеження</t>
  </si>
  <si>
    <t>Запас ресурсу</t>
  </si>
  <si>
    <t>Прибуток за прод., грн/т</t>
  </si>
  <si>
    <t>Трудовитрати, год</t>
  </si>
  <si>
    <t>Сировина, т</t>
  </si>
  <si>
    <t>План виробництва, т</t>
  </si>
  <si>
    <t>&lt;=</t>
  </si>
  <si>
    <t>Microsoft Excel 16.0 Отчет о результатах</t>
  </si>
  <si>
    <t>Лист: [Лаб_1.xlsx]Лист1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</si>
  <si>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</si>
  <si>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</si>
  <si>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лин. задач симплекс-методом</t>
  </si>
  <si>
    <t>Время решения: 0 секунд.</t>
  </si>
  <si>
    <t>Число итераций: 2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</si>
  <si>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</si>
  <si>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</si>
  <si>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</si>
  <si>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</si>
  <si>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</si>
  <si>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</si>
  <si>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</si>
  <si>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</si>
  <si>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</si>
  <si>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</si>
  <si>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</si>
  <si>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</si>
  <si>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</si>
  <si>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</si>
  <si>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</si>
  <si>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$F$7</t>
  </si>
  <si>
    <t>Прибуток за прод., грн/т Запаси фізичні</t>
  </si>
  <si>
    <t>$D$8</t>
  </si>
  <si>
    <t>План виробництва, т Продукт 1</t>
  </si>
  <si>
    <t>Продолжить</t>
  </si>
  <si>
    <t>$E$8</t>
  </si>
  <si>
    <t>План виробництва, т Продукт 2</t>
  </si>
  <si>
    <t>$F$5</t>
  </si>
  <si>
    <t>Сировина, т Запаси фізичні</t>
  </si>
  <si>
    <t>$F$5&lt;=$H$5</t>
  </si>
  <si>
    <t>Привязка</t>
  </si>
  <si>
    <t>$F$6</t>
  </si>
  <si>
    <t>Трудовитрати, год Запаси фізичні</t>
  </si>
  <si>
    <t>$F$6&lt;=$H$6</t>
  </si>
  <si>
    <t>Microsoft Excel 16.0 Отчет об устойчивости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</si>
  <si>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</si>
  <si>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</si>
  <si>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</si>
  <si>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</si>
  <si>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</si>
  <si>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</si>
  <si>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</si>
  <si>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</si>
  <si>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</si>
  <si>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</si>
  <si>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</si>
  <si>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</si>
  <si>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</si>
  <si>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Microsoft Excel 16.0 Отчет о пределах</t>
  </si>
  <si>
    <t>Переменная</t>
  </si>
  <si>
    <t>Нижний</t>
  </si>
  <si>
    <t>Предел</t>
  </si>
  <si>
    <t>Результат</t>
  </si>
  <si>
    <t>Верхний</t>
  </si>
  <si>
    <t>Отчет создан: 11.09.2025 16:13:02</t>
  </si>
  <si>
    <t>x1</t>
  </si>
  <si>
    <t>x2</t>
  </si>
  <si>
    <t>Висновок:</t>
  </si>
  <si>
    <t>Аналітична модель</t>
  </si>
  <si>
    <t>Цільова функція</t>
  </si>
  <si>
    <t>F = 30 * x1 +35 *x2 -&gt; max</t>
  </si>
  <si>
    <t>3 * x1 + 5 * x2 &lt;= 120</t>
  </si>
  <si>
    <t>14 * x1 + 12 * x2 &lt;= 400</t>
  </si>
  <si>
    <t>x1, x2 &gt;= 0</t>
  </si>
  <si>
    <t>Обмеження на сировину</t>
  </si>
  <si>
    <t>Обмеження на трудовитрати</t>
  </si>
  <si>
    <t>Невід'ємність</t>
  </si>
  <si>
    <t>x1 - обсяг продукції першого виду</t>
  </si>
  <si>
    <t>x2 - обсяг продукції другого виду</t>
  </si>
  <si>
    <t>Максимальний прибуток складає 988,24 ум од при виробництві продукту 1 обсягом 16,47 т і продукту 2 обсягом 14,12 т при обмеженнях сировини в 120 т, трудовитрат в 400 годин</t>
  </si>
  <si>
    <t>цінність додаткової од ресурса</t>
  </si>
  <si>
    <t>як зміниться цільова функція при примусовуму випуску додаткової одиниці продукції(що не випускається)</t>
  </si>
  <si>
    <t>показує, як зміниться цільова функція зі збільшенням на одиницю правої частини обмеження.</t>
  </si>
  <si>
    <t>межі, в яких можна змінювати коефіцієнт цільової функції (прибуток від продукту), щоб оптимальний план залишався незмінним.</t>
  </si>
  <si>
    <t>діапазон зміни запасу ресурсу, при якому тіньова ціна залишається незмінною(актуальною)</t>
  </si>
  <si>
    <t>Впливає на результат</t>
  </si>
  <si>
    <t>Різниця між наявними і використаними ресурсами</t>
  </si>
  <si>
    <t>Сировина А</t>
  </si>
  <si>
    <t>Сировина Б</t>
  </si>
  <si>
    <t>Сировина В</t>
  </si>
  <si>
    <t>Прибуток за од прод., тис грн</t>
  </si>
  <si>
    <t>Фактичне використання ресурсів</t>
  </si>
  <si>
    <t>максимум</t>
  </si>
  <si>
    <t>Аналітичний вигляд задачі</t>
  </si>
  <si>
    <t>Цільова функція:</t>
  </si>
  <si>
    <t>F = x1 +3 *x2 -&gt; max</t>
  </si>
  <si>
    <t>Обмеження</t>
  </si>
  <si>
    <t>x1 +3 * x2</t>
  </si>
  <si>
    <t>2* x1 + x2</t>
  </si>
  <si>
    <t>2 * x1 +4 *x2</t>
  </si>
  <si>
    <t>x1, x2</t>
  </si>
  <si>
    <t>&gt;=</t>
  </si>
  <si>
    <t>-</t>
  </si>
  <si>
    <t>$D$9</t>
  </si>
  <si>
    <t>$E$9</t>
  </si>
  <si>
    <t>$H$5</t>
  </si>
  <si>
    <t>&lt;= Фактичне використання ресурсів</t>
  </si>
  <si>
    <t>$H$6</t>
  </si>
  <si>
    <t>$H$7</t>
  </si>
  <si>
    <t>усі значення х, знаходимо значення, які оптимізують цільову функцію ( у цьому випадку - максимум, стрілка вектора вгору)</t>
  </si>
  <si>
    <t>область допустимих рішень(оптимальних)</t>
  </si>
  <si>
    <t>Лист: [Лаб_1.xlsx]1_2</t>
  </si>
  <si>
    <t>Отчет создан: 15.09.2025 03:39:58</t>
  </si>
  <si>
    <t>примусовий випуск продукц - 1т продукції першого виду зменшить прибуток на 500грн)</t>
  </si>
  <si>
    <t xml:space="preserve">6 тис </t>
  </si>
  <si>
    <t>з.р В - 3</t>
  </si>
  <si>
    <t>5,5 тис - (примус вип 1 пр - привед. варт.) прибуток -500</t>
  </si>
  <si>
    <t>зменш</t>
  </si>
  <si>
    <t>при виробництві 2т продукту 2 виду досягається прибуток 6тис грн</t>
  </si>
  <si>
    <t>Час на обробку 1т</t>
  </si>
  <si>
    <t>Лабораторія</t>
  </si>
  <si>
    <t>Витрати виробництва, тис. грн/т</t>
  </si>
  <si>
    <t>Витрати на закупівлю, тис., грн/т</t>
  </si>
  <si>
    <t>Попит, т</t>
  </si>
  <si>
    <t>Загальний факт, т</t>
  </si>
  <si>
    <t>План закупівлі, т</t>
  </si>
  <si>
    <t>Тип 1</t>
  </si>
  <si>
    <t>Тип 2</t>
  </si>
  <si>
    <t>Фактичне використання часу</t>
  </si>
  <si>
    <t>Фонд часу, год</t>
  </si>
  <si>
    <t>Загальні витрати, грн</t>
  </si>
  <si>
    <t>55x1 + 46x2 + 65x3 + 76x4 -&gt; min</t>
  </si>
  <si>
    <t>Обмеження по часу:</t>
  </si>
  <si>
    <t>Лаб. 1</t>
  </si>
  <si>
    <t>Лаб. 2</t>
  </si>
  <si>
    <t>Обмеження на попит:</t>
  </si>
  <si>
    <t>7x1 + 12x2 &lt;= 550</t>
  </si>
  <si>
    <t>10x1 + 15x2 &lt;= 800</t>
  </si>
  <si>
    <t>x1 + x3 =210</t>
  </si>
  <si>
    <t>x2 + x4 =235</t>
  </si>
  <si>
    <t>x1,x2,x3,x4 &gt;= 0</t>
  </si>
  <si>
    <t>Лист: [Лаб_1.xlsx]1_3</t>
  </si>
  <si>
    <t>$C$12</t>
  </si>
  <si>
    <t>План виробництва, т Тип 1</t>
  </si>
  <si>
    <t>$D$12</t>
  </si>
  <si>
    <t>План виробництва, т Тип 2</t>
  </si>
  <si>
    <t>$C$13</t>
  </si>
  <si>
    <t>План закупівлі, т Тип 1</t>
  </si>
  <si>
    <t>$D$13</t>
  </si>
  <si>
    <t>План закупівлі, т Тип 2</t>
  </si>
  <si>
    <t>$C$10</t>
  </si>
  <si>
    <t>Попит, т Тип 1</t>
  </si>
  <si>
    <t>$D$10</t>
  </si>
  <si>
    <t>Попит, т Тип 2</t>
  </si>
  <si>
    <t>$E$6</t>
  </si>
  <si>
    <t>$E$7</t>
  </si>
  <si>
    <t>Отчет создан: 15.09.2025 04:39:44</t>
  </si>
  <si>
    <t>на скільки зміниться цільова функція ( тип 1 + 7,5)</t>
  </si>
  <si>
    <t>(цінність ресурсів, на скільки зміниться цільова функція)</t>
  </si>
  <si>
    <t>(ресурс у надлишку, ніяк не зміниться)</t>
  </si>
  <si>
    <t>для досягнення мінімальних витрат необхідно закупити 210т 1-го типу продукції, другого виду продукції слід виробити 45,83 т і закупити 189,17 т</t>
  </si>
  <si>
    <t>Як зміняться мінімальні витрати при примусовому виробництві 5</t>
  </si>
  <si>
    <t>одиниць продукції типу 1?</t>
  </si>
  <si>
    <t>(дивимось на нормовану ціну 7,5, отже 5*7,5 = 37,5 збільшення витрат)</t>
  </si>
  <si>
    <t>Чи варто змінити обсяг закупівель хімікатів типу 1, якщо їхня ціна</t>
  </si>
  <si>
    <t>збільшиться на 15 тис. грн. за тонну?</t>
  </si>
  <si>
    <t>Так, необхідно, оскільки допустиме збільшення ціни складає 7,5 тис. грн</t>
  </si>
  <si>
    <t>Як зміняться мінімальні витрати, якщо фонд часу роботи лабораторії 1</t>
  </si>
  <si>
    <t>скоротиться з 550 до 450 год?</t>
  </si>
  <si>
    <t>F = 10x1 + 4x2 -&gt; max</t>
  </si>
  <si>
    <t>0,02x1 + 0,01x2 &lt;= 60</t>
  </si>
  <si>
    <t>0,03x1 + 0,01x2 &lt;= 70</t>
  </si>
  <si>
    <t>Ділянка</t>
  </si>
  <si>
    <t>Прибуток за год.</t>
  </si>
  <si>
    <t>План виробництва</t>
  </si>
  <si>
    <t>А</t>
  </si>
  <si>
    <t>В</t>
  </si>
  <si>
    <t>Час роботи</t>
  </si>
  <si>
    <t>0,03x1 + 0,02x2 &lt;= 100</t>
  </si>
  <si>
    <t>Загальний прибуток</t>
  </si>
  <si>
    <t>Загальний прибуток, грн</t>
  </si>
  <si>
    <t>Лист: [Лаб_1.xlsx]1_4</t>
  </si>
  <si>
    <t>Отчет создан: 15.09.2025 05:10:30</t>
  </si>
  <si>
    <t>План виробництва А</t>
  </si>
  <si>
    <t>План виробництва В</t>
  </si>
  <si>
    <t>(не включаючи крайній діапазон)</t>
  </si>
  <si>
    <t>найцінніший ресурс</t>
  </si>
  <si>
    <t>На скільки збільшиться прибуток, якщо ресурс часу на ділянці 1</t>
  </si>
  <si>
    <t>збільшиться на 10 год?</t>
  </si>
  <si>
    <t>Ніяк, адже тіньова ціна = 0</t>
  </si>
  <si>
    <t>На скільки збільшиться прибуток, якщо ресурс часу на ділянці 2</t>
  </si>
  <si>
    <t>Збільшиться на 10*266,67 = 2666,7</t>
  </si>
  <si>
    <t>Цех</t>
  </si>
  <si>
    <t>Астро</t>
  </si>
  <si>
    <t>Космо</t>
  </si>
  <si>
    <t>Прибуток за од, прод, грн</t>
  </si>
  <si>
    <t>F = 1500x1 + 2000x2 -&gt; max</t>
  </si>
  <si>
    <t>Обмеження:</t>
  </si>
  <si>
    <t>1,2x1 + 1,8x &lt;= 120</t>
  </si>
  <si>
    <t>x1 + x2 &lt;= 90</t>
  </si>
  <si>
    <t>x1,x2 &gt;=0, цілі значення</t>
  </si>
  <si>
    <t>Звіту зі стійкості немає!!</t>
  </si>
  <si>
    <t>На скільки грн у день збільшиться прибуток, якщо ресурс часу в</t>
  </si>
  <si>
    <t>На 2500 грн зросте прибуток</t>
  </si>
  <si>
    <t>Чи варто змінити план виробництва, якщо прибуток від телевізора</t>
  </si>
  <si>
    <t>«Космо» збільшиться до 2200 грн.?</t>
  </si>
  <si>
    <t>Прибуток зросте на 4000 грн, але план виробницта - незмінний</t>
  </si>
  <si>
    <t>Режим</t>
  </si>
  <si>
    <t>Світла, тонн</t>
  </si>
  <si>
    <t>Темна, тонн</t>
  </si>
  <si>
    <t>Факти виробництва по режимах, т</t>
  </si>
  <si>
    <t>Факт, тонн</t>
  </si>
  <si>
    <t>План, тонн</t>
  </si>
  <si>
    <t>Загальні витрати, тонн</t>
  </si>
  <si>
    <t>F = x1 + x2 -&gt; min</t>
  </si>
  <si>
    <t>0,6x1 + 0,2x2 = 110</t>
  </si>
  <si>
    <t>0,3x1 + 0,7x2 = 70</t>
  </si>
  <si>
    <t>x1, x2 &gt;=0</t>
  </si>
  <si>
    <t>Визначити:</t>
  </si>
  <si>
    <t>1. Скільки тонн нафти варто щодня переробляти в першому режимі?</t>
  </si>
  <si>
    <t>Х1</t>
  </si>
  <si>
    <t>2. Скільки тонн нафти варто щодня переробляти в другому режимі?</t>
  </si>
  <si>
    <t>Х2</t>
  </si>
  <si>
    <t>У лабораторній - переплутана сума світлі - темні</t>
  </si>
  <si>
    <t>Лист: [Лаб_1.xlsx]1_6</t>
  </si>
  <si>
    <t>Отчет создан: 18.09.2025 21:24:50</t>
  </si>
  <si>
    <t>$C$8</t>
  </si>
  <si>
    <t>Світла, тонн Факт, тонн</t>
  </si>
  <si>
    <t>Темна, тонн Факт, тонн</t>
  </si>
  <si>
    <t>175т</t>
  </si>
  <si>
    <t>25т</t>
  </si>
  <si>
    <t>обидві сировини задіюються</t>
  </si>
  <si>
    <t>Витрати нафти, тонн</t>
  </si>
  <si>
    <t>1 тонна - 1,(1)</t>
  </si>
  <si>
    <t>збільшення на 10 тонн - 11,11111</t>
  </si>
  <si>
    <t>при виготовленні 1333,33 ум. Од 1 типу і 3000 ум. Од 2 типу загальний прибуток складає 25333,333</t>
  </si>
  <si>
    <t>Операція</t>
  </si>
  <si>
    <t>Виробництво</t>
  </si>
  <si>
    <t>Збірка</t>
  </si>
  <si>
    <t>Фарбування</t>
  </si>
  <si>
    <t>Прибуток за од. прод., грн</t>
  </si>
  <si>
    <t>С</t>
  </si>
  <si>
    <t>Столи</t>
  </si>
  <si>
    <t>Час роботи, год</t>
  </si>
  <si>
    <t>x3</t>
  </si>
  <si>
    <t>5x1 + x2 +7x3 &lt;=100</t>
  </si>
  <si>
    <t>2x1 + 2x2 +5x3 &lt;=100</t>
  </si>
  <si>
    <t>5x1 +5 x2 +6x3 &lt;=100</t>
  </si>
  <si>
    <t>F = 450x1 + 400x2 + (500-200)x3 -&gt; max</t>
  </si>
  <si>
    <t>x1, x2, x3 &gt;=0</t>
  </si>
  <si>
    <t>x1, x2, x3- цілі значення</t>
  </si>
  <si>
    <t>Доцільно продавати незабарвлені моделі С, оскільки прибуток збільшився на  2300 грн</t>
  </si>
  <si>
    <t>Чи варто продавати незабарвлені столи моделі 3?</t>
  </si>
  <si>
    <t>Доцільно продавати незабарвлені моделі С, оскільки прибуток збільшився на  2300 грн (1_7(2))</t>
  </si>
  <si>
    <t>На скільки збільшиться максимальний прибуток, якщо</t>
  </si>
  <si>
    <t>припустимий обсяг трудовитрат на етапі збірки зросте на 10%?</t>
  </si>
  <si>
    <t>Прибуток не змінився</t>
  </si>
  <si>
    <t>Прибуток не змінився(1_7(3))</t>
  </si>
  <si>
    <t>На яку мінімальну величину повинен зрости прибуток від</t>
  </si>
  <si>
    <t>виробництва й продажу пофарбованого стола моделі 3, щоб стало вигідно</t>
  </si>
  <si>
    <t>Прибуток потрібно збільшити на 53 одиниці</t>
  </si>
  <si>
    <t>Ціна для С - 553</t>
  </si>
  <si>
    <t>Прибуток збільш на 53 од.</t>
  </si>
  <si>
    <t>Мінімальна ціна столу С - 553, щоб їх було доцільно продавати (1_7(4))</t>
  </si>
  <si>
    <t>їх робити?</t>
  </si>
  <si>
    <t>Пакування</t>
  </si>
  <si>
    <t>Собівартість, тис. грн</t>
  </si>
  <si>
    <t>Закупівля, тис. грн</t>
  </si>
  <si>
    <t>Загальний план, шт</t>
  </si>
  <si>
    <t>Загальний факт, шт</t>
  </si>
  <si>
    <t>Факт виробництва, шт</t>
  </si>
  <si>
    <t>План закупівлі, шт</t>
  </si>
  <si>
    <t>вугільного</t>
  </si>
  <si>
    <t>газового</t>
  </si>
  <si>
    <t>Ціна, тис грн</t>
  </si>
  <si>
    <t>Собівартість(власне вир-тво) тис грн</t>
  </si>
  <si>
    <t>Задача цілочисельного лінійного математичного програмування</t>
  </si>
  <si>
    <t>Витрати, тис грн</t>
  </si>
  <si>
    <t>x1 - вуг мангали, які вироб самост</t>
  </si>
  <si>
    <t>х2 - газов мангали, які вироб самост</t>
  </si>
  <si>
    <t>3 тис грн</t>
  </si>
  <si>
    <t>5 тис грн</t>
  </si>
  <si>
    <t>х3 - вуг мангали, які закуповуємо</t>
  </si>
  <si>
    <t>х4 - газов мангали, які закуповуємо</t>
  </si>
  <si>
    <t>F = 1,5x1 + 3x2 + 3x3+ 5x4 -&gt; min</t>
  </si>
  <si>
    <t>Планування</t>
  </si>
  <si>
    <t>План обсягу виробництва</t>
  </si>
  <si>
    <t>5x1 + 8x2 &lt;= 2600</t>
  </si>
  <si>
    <t>0,8x1 + 1,2x2 &lt;= 400</t>
  </si>
  <si>
    <t>0,5x1 + 0,5x2 &lt;=200</t>
  </si>
  <si>
    <t>x1+x3 = 300</t>
  </si>
  <si>
    <t>x2+x4 = 300</t>
  </si>
  <si>
    <t>x1,x2,x3,x4&gt;=0</t>
  </si>
  <si>
    <t>x1,x2,x3,x4 - цілі значення</t>
  </si>
  <si>
    <t>x4</t>
  </si>
  <si>
    <t>1. Які мінімальні витрати на виконання контракту?</t>
  </si>
  <si>
    <t>2. Скільки вугільних мангалів варто щомісяця виготовляти фірмі</t>
  </si>
  <si>
    <t>«Давидко»?</t>
  </si>
  <si>
    <t>3. Скільки газових мангалів варто виготовляти щомісяця?</t>
  </si>
  <si>
    <t>4. Скільки газових мангалів варто закуповувати?</t>
  </si>
  <si>
    <t>5. Чи варто зберегти обсяги закупівель газових мангалів, якщо</t>
  </si>
  <si>
    <t>компанія, що виконує замовлення для фірми «Давидко», підніме ціну на них</t>
  </si>
  <si>
    <t>до 5,5 тис. грн.?</t>
  </si>
  <si>
    <t>x1 = 200</t>
  </si>
  <si>
    <t>x4 = 100</t>
  </si>
  <si>
    <t>x2 = 200</t>
  </si>
  <si>
    <t>Так, варто зберегти обсяги закупівель газових мангалів, бо навіть при зростанні ціни до 5,5 тис. грн виробничі обмеження не дозволяють їх замістити власним виробництвом. Хоча й витрати зростуть до 1850 тис грн</t>
  </si>
  <si>
    <r>
      <t xml:space="preserve">Призводить до </t>
    </r>
    <r>
      <rPr>
        <sz val="11"/>
        <color rgb="FFFF0000"/>
        <rFont val="Calibri"/>
        <family val="2"/>
        <charset val="204"/>
        <scheme val="minor"/>
      </rPr>
      <t>збільшення</t>
    </r>
    <r>
      <rPr>
        <sz val="11"/>
        <color theme="1"/>
        <rFont val="Calibri"/>
        <family val="2"/>
        <charset val="204"/>
        <scheme val="minor"/>
      </rPr>
      <t xml:space="preserve"> витрат на 250 тис грн (- на + зворотній зв'язок)</t>
    </r>
  </si>
  <si>
    <t>цеху 2 зросте на 5 людино-годин?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</si>
</sst>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sz val="21"/>
      <color rgb="FFE8EAED"/>
      <name val="Inherit"/>
    </font>
    <font>
      <sz val="11"/>
      <color rgb="FFFF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0" fillId="0" borderId="4" xfId="0" applyBorder="1"/>
    <xf numFmtId="0" fontId="2" fillId="0" borderId="3" xfId="0" applyFont="1" applyBorder="1" applyAlignment="1">
      <alignment horizontal="center"/>
    </xf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wrapText="1"/>
    </xf>
    <xf numFmtId="2" fontId="0" fillId="4" borderId="6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3" fillId="0" borderId="0" xfId="0" applyFont="1" applyAlignment="1">
      <alignment horizontal="left" vertical="center"/>
    </xf>
    <xf numFmtId="0" fontId="0" fillId="6" borderId="0" xfId="0" applyFill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2" fontId="0" fillId="3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7" borderId="0" xfId="0" applyFill="1"/>
    <xf numFmtId="0" fontId="0" fillId="4" borderId="0" xfId="0" applyFill="1"/>
    <xf numFmtId="0" fontId="0" fillId="0" borderId="8" xfId="0" applyBorder="1" applyAlignment="1">
      <alignment horizontal="center" vertical="center"/>
    </xf>
    <xf numFmtId="2" fontId="0" fillId="4" borderId="6" xfId="0" applyNumberFormat="1" applyFill="1" applyBorder="1"/>
    <xf numFmtId="0" fontId="0" fillId="8" borderId="0" xfId="0" applyFill="1"/>
    <xf numFmtId="164" fontId="0" fillId="3" borderId="8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0" fillId="0" borderId="6" xfId="0" applyNumberFormat="1" applyBorder="1"/>
    <xf numFmtId="0" fontId="0" fillId="3" borderId="0" xfId="0" applyFill="1"/>
    <xf numFmtId="164" fontId="0" fillId="0" borderId="0" xfId="0" applyNumberFormat="1"/>
    <xf numFmtId="0" fontId="0" fillId="2" borderId="0" xfId="0" applyFill="1"/>
    <xf numFmtId="0" fontId="0" fillId="3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6" borderId="5" xfId="0" applyFill="1" applyBorder="1"/>
    <xf numFmtId="0" fontId="0" fillId="6" borderId="4" xfId="0" applyFill="1" applyBorder="1"/>
    <xf numFmtId="0" fontId="0" fillId="5" borderId="0" xfId="0" applyFill="1" applyAlignment="1">
      <alignment horizontal="left" vertical="center"/>
    </xf>
    <xf numFmtId="0" fontId="0" fillId="7" borderId="5" xfId="0" applyFill="1" applyBorder="1"/>
    <xf numFmtId="0" fontId="0" fillId="10" borderId="0" xfId="0" applyFill="1"/>
    <xf numFmtId="0" fontId="0" fillId="10" borderId="5" xfId="0" applyFill="1" applyBorder="1"/>
    <xf numFmtId="0" fontId="0" fillId="8" borderId="5" xfId="0" applyFill="1" applyBorder="1"/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9" borderId="5" xfId="0" applyFill="1" applyBorder="1"/>
    <xf numFmtId="0" fontId="0" fillId="9" borderId="4" xfId="0" applyFill="1" applyBorder="1"/>
    <xf numFmtId="0" fontId="0" fillId="3" borderId="5" xfId="0" applyFill="1" applyBorder="1"/>
    <xf numFmtId="0" fontId="0" fillId="3" borderId="4" xfId="0" applyFill="1" applyBorder="1"/>
    <xf numFmtId="0" fontId="0" fillId="7" borderId="4" xfId="0" applyFill="1" applyBorder="1"/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6" borderId="0" xfId="0" applyFill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0" xfId="0" applyBorder="1" applyAlignment="1">
      <alignment wrapText="1"/>
    </xf>
    <xf numFmtId="0" fontId="0" fillId="0" borderId="16" xfId="0" applyBorder="1" applyAlignment="1">
      <alignment wrapText="1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'1_1'!$F$15:$G$15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</c:numRef>
          </c:xVal>
          <c:yVal>
            <c:numRef>
              <c:f>'1_1'!$F$16:$G$16</c:f>
              <c:numCache>
                <c:formatCode>General</c:formatCode>
                <c:ptCount val="2"/>
                <c:pt idx="0">
                  <c:v>24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F5-4F4B-89E4-B1466A9234E3}"/>
            </c:ext>
          </c:extLst>
        </c:ser>
        <c:ser>
          <c:idx val="1"/>
          <c:order val="1"/>
          <c:tx>
            <c:v>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'1_1'!$F$18:$G$18</c:f>
              <c:numCache>
                <c:formatCode>General</c:formatCode>
                <c:ptCount val="2"/>
                <c:pt idx="0">
                  <c:v>0</c:v>
                </c:pt>
                <c:pt idx="1">
                  <c:v>28.57</c:v>
                </c:pt>
              </c:numCache>
            </c:numRef>
          </c:xVal>
          <c:yVal>
            <c:numRef>
              <c:f>'1_1'!$F$19:$G$19</c:f>
              <c:numCache>
                <c:formatCode>General</c:formatCode>
                <c:ptCount val="2"/>
                <c:pt idx="0">
                  <c:v>33.33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F5-4F4B-89E4-B1466A923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141504"/>
        <c:axId val="516148224"/>
      </c:scatterChart>
      <c:valAx>
        <c:axId val="51614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516148224"/>
        <c:crosses val="autoZero"/>
        <c:crossBetween val="midCat"/>
      </c:valAx>
      <c:valAx>
        <c:axId val="5161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51614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Графічний</a:t>
            </a:r>
            <a:r>
              <a:rPr lang="ru-RU" baseline="0"/>
              <a:t> метод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'1_2'!$D$23:$E$23</c:f>
              <c:numCache>
                <c:formatCode>General</c:formatCode>
                <c:ptCount val="2"/>
                <c:pt idx="0">
                  <c:v>9</c:v>
                </c:pt>
                <c:pt idx="1">
                  <c:v>0</c:v>
                </c:pt>
              </c:numCache>
            </c:numRef>
          </c:xVal>
          <c:yVal>
            <c:numRef>
              <c:f>'1_2'!$D$24:$E$24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0B-4D5E-9E92-48A9809C7450}"/>
            </c:ext>
          </c:extLst>
        </c:ser>
        <c:ser>
          <c:idx val="1"/>
          <c:order val="1"/>
          <c:tx>
            <c:v>ч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'1_2'!$D$26:$E$26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xVal>
          <c:yVal>
            <c:numRef>
              <c:f>'1_2'!$D$27:$E$27</c:f>
              <c:numCache>
                <c:formatCode>General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0B-4D5E-9E92-48A9809C7450}"/>
            </c:ext>
          </c:extLst>
        </c:ser>
        <c:ser>
          <c:idx val="2"/>
          <c:order val="2"/>
          <c:tx>
            <c:v>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0B-4D5E-9E92-48A9809C7450}"/>
              </c:ext>
            </c:extLst>
          </c:dPt>
          <c:xVal>
            <c:numRef>
              <c:f>'1_2'!$D$29:$E$29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xVal>
          <c:yVal>
            <c:numRef>
              <c:f>'1_2'!$D$30:$E$30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0B-4D5E-9E92-48A9809C7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107264"/>
        <c:axId val="364107744"/>
      </c:scatterChart>
      <c:valAx>
        <c:axId val="36410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364107744"/>
        <c:crosses val="autoZero"/>
        <c:crossBetween val="midCat"/>
      </c:valAx>
      <c:valAx>
        <c:axId val="3641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A"/>
          </a:p>
        </c:txPr>
        <c:crossAx val="36410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4</xdr:row>
      <xdr:rowOff>42862</xdr:rowOff>
    </xdr:from>
    <xdr:to>
      <xdr:col>16</xdr:col>
      <xdr:colOff>533400</xdr:colOff>
      <xdr:row>18</xdr:row>
      <xdr:rowOff>42862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F860D79-E04C-7F06-CDF4-FFF75E1F1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523875</xdr:colOff>
      <xdr:row>9</xdr:row>
      <xdr:rowOff>238125</xdr:rowOff>
    </xdr:from>
    <xdr:to>
      <xdr:col>13</xdr:col>
      <xdr:colOff>533400</xdr:colOff>
      <xdr:row>16</xdr:row>
      <xdr:rowOff>133350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7E0D9E40-D310-99DA-1EE5-DEBB9A6596E0}"/>
            </a:ext>
          </a:extLst>
        </xdr:cNvPr>
        <xdr:cNvCxnSpPr/>
      </xdr:nvCxnSpPr>
      <xdr:spPr>
        <a:xfrm flipV="1">
          <a:off x="9601200" y="1952625"/>
          <a:ext cx="2447925" cy="1304925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12</xdr:row>
      <xdr:rowOff>47625</xdr:rowOff>
    </xdr:from>
    <xdr:to>
      <xdr:col>12</xdr:col>
      <xdr:colOff>238125</xdr:colOff>
      <xdr:row>12</xdr:row>
      <xdr:rowOff>152400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A170526D-B500-18F1-B8D9-3B05E373FC6F}"/>
            </a:ext>
          </a:extLst>
        </xdr:cNvPr>
        <xdr:cNvSpPr/>
      </xdr:nvSpPr>
      <xdr:spPr>
        <a:xfrm>
          <a:off x="11029950" y="2409825"/>
          <a:ext cx="114300" cy="10477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U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104774</xdr:colOff>
      <xdr:row>2</xdr:row>
      <xdr:rowOff>71436</xdr:rowOff>
    </xdr:from>
    <xdr:to>
      <xdr:col>17</xdr:col>
      <xdr:colOff>609599</xdr:colOff>
      <xdr:row>15</xdr:row>
      <xdr:rowOff>95249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B0F9FAA-4839-5C81-DF80-54338D662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10</xdr:row>
      <xdr:rowOff>123825</xdr:rowOff>
    </xdr:from>
    <xdr:to>
      <xdr:col>12</xdr:col>
      <xdr:colOff>419100</xdr:colOff>
      <xdr:row>14</xdr:row>
      <xdr:rowOff>0</xdr:rowOff>
    </xdr:to>
    <xdr:sp macro="" textlink="">
      <xdr:nvSpPr>
        <xdr:cNvPr id="10" name="Полилиния: фигура 9">
          <a:extLst>
            <a:ext uri="{FF2B5EF4-FFF2-40B4-BE49-F238E27FC236}">
              <a16:creationId xmlns:a16="http://schemas.microsoft.com/office/drawing/2014/main" id="{1B0C2129-E2B7-0C55-29E7-BE73C30C8F62}"/>
            </a:ext>
          </a:extLst>
        </xdr:cNvPr>
        <xdr:cNvSpPr/>
      </xdr:nvSpPr>
      <xdr:spPr>
        <a:xfrm>
          <a:off x="9572625" y="2524125"/>
          <a:ext cx="1295400" cy="638175"/>
        </a:xfrm>
        <a:custGeom>
          <a:avLst/>
          <a:gdLst>
            <a:gd name="connsiteX0" fmla="*/ 0 w 1295400"/>
            <a:gd name="connsiteY0" fmla="*/ 638175 h 638175"/>
            <a:gd name="connsiteX1" fmla="*/ 0 w 1295400"/>
            <a:gd name="connsiteY1" fmla="*/ 0 h 638175"/>
            <a:gd name="connsiteX2" fmla="*/ 1152525 w 1295400"/>
            <a:gd name="connsiteY2" fmla="*/ 428625 h 638175"/>
            <a:gd name="connsiteX3" fmla="*/ 1295400 w 1295400"/>
            <a:gd name="connsiteY3" fmla="*/ 638175 h 638175"/>
            <a:gd name="connsiteX4" fmla="*/ 0 w 1295400"/>
            <a:gd name="connsiteY4" fmla="*/ 638175 h 6381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95400" h="638175">
              <a:moveTo>
                <a:pt x="0" y="638175"/>
              </a:moveTo>
              <a:lnTo>
                <a:pt x="0" y="0"/>
              </a:lnTo>
              <a:lnTo>
                <a:pt x="1152525" y="428625"/>
              </a:lnTo>
              <a:lnTo>
                <a:pt x="1295400" y="638175"/>
              </a:lnTo>
              <a:lnTo>
                <a:pt x="0" y="638175"/>
              </a:lnTo>
              <a:close/>
            </a:path>
          </a:pathLst>
        </a:cu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UA" sz="1100"/>
        </a:p>
      </xdr:txBody>
    </xdr:sp>
    <xdr:clientData/>
  </xdr:twoCellAnchor>
  <xdr:twoCellAnchor>
    <xdr:from>
      <xdr:col>10</xdr:col>
      <xdr:colOff>342900</xdr:colOff>
      <xdr:row>7</xdr:row>
      <xdr:rowOff>66675</xdr:rowOff>
    </xdr:from>
    <xdr:to>
      <xdr:col>11</xdr:col>
      <xdr:colOff>295275</xdr:colOff>
      <xdr:row>13</xdr:row>
      <xdr:rowOff>180975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6C7E5616-1853-ADED-5C84-6165F18A758F}"/>
            </a:ext>
          </a:extLst>
        </xdr:cNvPr>
        <xdr:cNvCxnSpPr/>
      </xdr:nvCxnSpPr>
      <xdr:spPr>
        <a:xfrm flipV="1">
          <a:off x="9572625" y="1809750"/>
          <a:ext cx="561975" cy="1343025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3E25-0F6F-47C5-8E42-0A36167F1BDC}">
  <dimension ref="C4:I23"/>
  <sheetViews>
    <sheetView workbookViewId="0">
      <selection activeCell="L29" sqref="L29"/>
    </sheetView>
  </sheetViews>
  <sheetFormatPr defaultRowHeight="15"/>
  <cols>
    <col min="2" max="2" width="8.7109375" customWidth="1"/>
    <col min="3" max="3" width="32" customWidth="1"/>
    <col min="4" max="4" width="12" bestFit="1" customWidth="1"/>
    <col min="5" max="5" width="13" customWidth="1"/>
    <col min="6" max="6" width="14.28515625" bestFit="1" customWidth="1"/>
    <col min="7" max="7" width="16.42578125" bestFit="1" customWidth="1"/>
    <col min="8" max="8" width="17.140625" customWidth="1"/>
    <col min="9" max="9" width="13.42578125" customWidth="1"/>
  </cols>
  <sheetData>
    <row r="4" spans="3:9">
      <c r="C4" s="8"/>
      <c r="D4" s="8" t="s">
        <v>0</v>
      </c>
      <c r="E4" s="8" t="s">
        <v>1</v>
      </c>
      <c r="F4" s="8" t="s">
        <v>2</v>
      </c>
      <c r="G4" s="9" t="s">
        <v>3</v>
      </c>
      <c r="H4" s="8" t="s">
        <v>4</v>
      </c>
    </row>
    <row r="5" spans="3:9">
      <c r="C5" s="8" t="s">
        <v>7</v>
      </c>
      <c r="D5" s="8">
        <v>3</v>
      </c>
      <c r="E5" s="8">
        <v>5</v>
      </c>
      <c r="F5" s="8">
        <f>SUMPRODUCT($D$8:$E$8,D5:E5)</f>
        <v>120</v>
      </c>
      <c r="G5" s="9" t="s">
        <v>9</v>
      </c>
      <c r="H5" s="13">
        <v>120</v>
      </c>
    </row>
    <row r="6" spans="3:9">
      <c r="C6" s="8" t="s">
        <v>6</v>
      </c>
      <c r="D6" s="8">
        <v>14</v>
      </c>
      <c r="E6" s="8">
        <v>12</v>
      </c>
      <c r="F6" s="8">
        <f>SUMPRODUCT($D$8:$E$8,D6:E6)</f>
        <v>400.00000000000006</v>
      </c>
      <c r="G6" s="9" t="s">
        <v>9</v>
      </c>
      <c r="H6" s="13">
        <v>400</v>
      </c>
    </row>
    <row r="7" spans="3:9">
      <c r="C7" s="10" t="s">
        <v>5</v>
      </c>
      <c r="D7" s="8">
        <v>30</v>
      </c>
      <c r="E7" s="8">
        <v>35</v>
      </c>
      <c r="F7" s="11">
        <f>SUMPRODUCT($D$8:$E$8,D7:E7)</f>
        <v>988.23529411764707</v>
      </c>
      <c r="G7" s="7"/>
      <c r="H7" s="7"/>
    </row>
    <row r="8" spans="3:9">
      <c r="C8" s="8" t="s">
        <v>8</v>
      </c>
      <c r="D8" s="12">
        <v>16.470588235294123</v>
      </c>
      <c r="E8" s="12">
        <v>14.117647058823525</v>
      </c>
      <c r="F8" s="7"/>
      <c r="G8" s="7"/>
      <c r="H8" s="7"/>
    </row>
    <row r="9" spans="3:9">
      <c r="C9" s="14" t="s">
        <v>70</v>
      </c>
      <c r="D9" s="8" t="s">
        <v>67</v>
      </c>
      <c r="E9" s="8" t="s">
        <v>68</v>
      </c>
      <c r="F9" s="7"/>
      <c r="G9" s="7"/>
      <c r="H9" s="7"/>
    </row>
    <row r="10" spans="3:9" ht="21" customHeight="1">
      <c r="C10" s="14" t="s">
        <v>71</v>
      </c>
      <c r="D10" t="s">
        <v>69</v>
      </c>
    </row>
    <row r="11" spans="3:9">
      <c r="C11" s="14" t="s">
        <v>72</v>
      </c>
      <c r="D11" s="73" t="s">
        <v>81</v>
      </c>
      <c r="E11" s="73"/>
      <c r="F11" s="73"/>
      <c r="G11" s="73"/>
      <c r="H11" s="73"/>
      <c r="I11" s="73"/>
    </row>
    <row r="12" spans="3:9">
      <c r="C12" s="15"/>
      <c r="D12" s="73"/>
      <c r="E12" s="73"/>
      <c r="F12" s="73"/>
      <c r="G12" s="73"/>
      <c r="H12" s="73"/>
      <c r="I12" s="73"/>
    </row>
    <row r="13" spans="3:9">
      <c r="C13" s="14" t="s">
        <v>76</v>
      </c>
    </row>
    <row r="14" spans="3:9">
      <c r="C14" s="14" t="s">
        <v>73</v>
      </c>
    </row>
    <row r="15" spans="3:9">
      <c r="C15" s="15"/>
      <c r="E15" t="s">
        <v>67</v>
      </c>
      <c r="F15" s="26">
        <v>0</v>
      </c>
      <c r="G15" s="26">
        <v>40</v>
      </c>
    </row>
    <row r="16" spans="3:9">
      <c r="C16" s="14" t="s">
        <v>77</v>
      </c>
      <c r="E16" t="s">
        <v>68</v>
      </c>
      <c r="F16" s="17">
        <v>24</v>
      </c>
      <c r="G16" s="17">
        <v>0</v>
      </c>
    </row>
    <row r="17" spans="3:7">
      <c r="C17" s="15" t="s">
        <v>74</v>
      </c>
    </row>
    <row r="18" spans="3:7">
      <c r="C18" s="15"/>
      <c r="E18" t="s">
        <v>67</v>
      </c>
      <c r="F18" s="26">
        <v>0</v>
      </c>
      <c r="G18" s="26">
        <v>28.57</v>
      </c>
    </row>
    <row r="19" spans="3:7">
      <c r="C19" s="15" t="s">
        <v>78</v>
      </c>
      <c r="E19" t="s">
        <v>68</v>
      </c>
      <c r="F19" s="17">
        <v>33.33</v>
      </c>
      <c r="G19" s="17">
        <v>0</v>
      </c>
    </row>
    <row r="20" spans="3:7">
      <c r="C20" s="15" t="s">
        <v>75</v>
      </c>
    </row>
    <row r="21" spans="3:7">
      <c r="E21" t="s">
        <v>67</v>
      </c>
      <c r="F21" s="26">
        <v>0</v>
      </c>
      <c r="G21" s="26">
        <v>30</v>
      </c>
    </row>
    <row r="22" spans="3:7">
      <c r="C22" s="15" t="s">
        <v>79</v>
      </c>
      <c r="E22" t="s">
        <v>68</v>
      </c>
      <c r="F22" s="17">
        <v>0</v>
      </c>
      <c r="G22" s="17">
        <v>25.714300000000001</v>
      </c>
    </row>
    <row r="23" spans="3:7">
      <c r="C23" s="15" t="s">
        <v>80</v>
      </c>
    </row>
  </sheetData>
  <mergeCells count="1">
    <mergeCell ref="D11:I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E561-DFE1-4873-801C-DB5D4C3D4F04}">
  <dimension ref="A1:O19"/>
  <sheetViews>
    <sheetView showGridLines="0" workbookViewId="0">
      <selection activeCell="E17" sqref="E17:E19"/>
    </sheetView>
  </sheetViews>
  <sheetFormatPr defaultRowHeight="15"/>
  <cols>
    <col min="1" max="1" width="2.28515625" customWidth="1"/>
    <col min="2" max="2" width="7.5703125" bestFit="1" customWidth="1"/>
    <col min="3" max="3" width="31.85546875" bestFit="1" customWidth="1"/>
    <col min="4" max="4" width="15.42578125" bestFit="1" customWidth="1"/>
    <col min="5" max="5" width="30" customWidth="1"/>
    <col min="6" max="6" width="17.42578125" bestFit="1" customWidth="1"/>
    <col min="7" max="7" width="12.42578125" bestFit="1" customWidth="1"/>
    <col min="8" max="8" width="13.28515625" bestFit="1" customWidth="1"/>
  </cols>
  <sheetData>
    <row r="1" spans="1:15">
      <c r="A1" s="1" t="s">
        <v>46</v>
      </c>
    </row>
    <row r="2" spans="1:15" ht="30" customHeight="1">
      <c r="A2" s="1" t="s">
        <v>11</v>
      </c>
      <c r="E2" s="74" t="s">
        <v>83</v>
      </c>
      <c r="G2" s="74" t="s">
        <v>85</v>
      </c>
      <c r="H2" s="74"/>
    </row>
    <row r="3" spans="1:15" ht="16.5" customHeight="1">
      <c r="A3" s="1" t="s">
        <v>66</v>
      </c>
      <c r="E3" s="74"/>
      <c r="G3" s="74"/>
      <c r="H3" s="74"/>
    </row>
    <row r="4" spans="1:15" ht="15" customHeight="1">
      <c r="E4" s="74"/>
      <c r="G4" s="74"/>
      <c r="H4" s="74"/>
    </row>
    <row r="5" spans="1:15">
      <c r="E5" s="74"/>
      <c r="G5" s="74"/>
      <c r="H5" s="74"/>
    </row>
    <row r="6" spans="1:15" ht="15.75" thickBot="1">
      <c r="A6" t="s">
        <v>25</v>
      </c>
      <c r="E6" s="75"/>
      <c r="G6" s="75"/>
      <c r="H6" s="75"/>
    </row>
    <row r="7" spans="1:15">
      <c r="B7" s="5"/>
      <c r="C7" s="5"/>
      <c r="D7" s="5" t="s">
        <v>47</v>
      </c>
      <c r="E7" s="5" t="s">
        <v>49</v>
      </c>
      <c r="F7" s="5" t="s">
        <v>51</v>
      </c>
      <c r="G7" s="5" t="s">
        <v>53</v>
      </c>
      <c r="H7" s="5" t="s">
        <v>53</v>
      </c>
    </row>
    <row r="8" spans="1:15" ht="15.75" thickBot="1">
      <c r="B8" s="6" t="s">
        <v>21</v>
      </c>
      <c r="C8" s="6" t="s">
        <v>22</v>
      </c>
      <c r="D8" s="6" t="s">
        <v>48</v>
      </c>
      <c r="E8" s="6" t="s">
        <v>50</v>
      </c>
      <c r="F8" s="6" t="s">
        <v>52</v>
      </c>
      <c r="G8" s="6" t="s">
        <v>54</v>
      </c>
      <c r="H8" s="6" t="s">
        <v>55</v>
      </c>
    </row>
    <row r="9" spans="1:15">
      <c r="B9" s="4" t="s">
        <v>34</v>
      </c>
      <c r="C9" s="4" t="s">
        <v>35</v>
      </c>
      <c r="D9" s="4">
        <v>16.470588235294123</v>
      </c>
      <c r="E9" s="4">
        <v>0</v>
      </c>
      <c r="F9" s="4">
        <v>30</v>
      </c>
      <c r="G9" s="4">
        <v>10.83333333333333</v>
      </c>
      <c r="H9" s="4">
        <v>8.9999999999999964</v>
      </c>
    </row>
    <row r="10" spans="1:15" ht="15.75" thickBot="1">
      <c r="B10" s="2" t="s">
        <v>37</v>
      </c>
      <c r="C10" s="2" t="s">
        <v>38</v>
      </c>
      <c r="D10" s="2">
        <v>14.117647058823525</v>
      </c>
      <c r="E10" s="2">
        <v>0</v>
      </c>
      <c r="F10" s="2">
        <v>35</v>
      </c>
      <c r="G10" s="2">
        <v>14.999999999999991</v>
      </c>
      <c r="H10" s="2">
        <v>9.2857142857142847</v>
      </c>
    </row>
    <row r="12" spans="1:15" ht="15.75" thickBot="1">
      <c r="A12" t="s">
        <v>27</v>
      </c>
      <c r="E12" s="17" t="s">
        <v>82</v>
      </c>
      <c r="G12" s="17" t="s">
        <v>86</v>
      </c>
      <c r="H12" s="17"/>
      <c r="I12" s="17"/>
      <c r="J12" s="17"/>
      <c r="K12" s="17"/>
      <c r="L12" s="17"/>
      <c r="M12" s="17"/>
      <c r="N12" s="17"/>
      <c r="O12" s="17"/>
    </row>
    <row r="13" spans="1:15">
      <c r="B13" s="5"/>
      <c r="C13" s="5"/>
      <c r="D13" s="5" t="s">
        <v>47</v>
      </c>
      <c r="E13" s="5" t="s">
        <v>56</v>
      </c>
      <c r="F13" s="5" t="s">
        <v>58</v>
      </c>
      <c r="G13" s="5" t="s">
        <v>53</v>
      </c>
      <c r="H13" s="5" t="s">
        <v>53</v>
      </c>
    </row>
    <row r="14" spans="1:15" ht="15.75" thickBot="1">
      <c r="B14" s="6" t="s">
        <v>21</v>
      </c>
      <c r="C14" s="6" t="s">
        <v>22</v>
      </c>
      <c r="D14" s="6" t="s">
        <v>48</v>
      </c>
      <c r="E14" s="6" t="s">
        <v>57</v>
      </c>
      <c r="F14" s="6" t="s">
        <v>59</v>
      </c>
      <c r="G14" s="6" t="s">
        <v>54</v>
      </c>
      <c r="H14" s="6" t="s">
        <v>55</v>
      </c>
    </row>
    <row r="15" spans="1:15">
      <c r="B15" s="4" t="s">
        <v>39</v>
      </c>
      <c r="C15" s="4" t="s">
        <v>40</v>
      </c>
      <c r="D15" s="4">
        <v>120</v>
      </c>
      <c r="E15" s="4">
        <v>3.8235294117647061</v>
      </c>
      <c r="F15" s="4">
        <v>120</v>
      </c>
      <c r="G15" s="4">
        <v>46.666666666666664</v>
      </c>
      <c r="H15" s="4">
        <v>34.28571428571427</v>
      </c>
    </row>
    <row r="16" spans="1:15" ht="15.75" thickBot="1">
      <c r="B16" s="2" t="s">
        <v>43</v>
      </c>
      <c r="C16" s="2" t="s">
        <v>44</v>
      </c>
      <c r="D16" s="2">
        <v>400.00000000000006</v>
      </c>
      <c r="E16" s="2">
        <v>1.3235294117647056</v>
      </c>
      <c r="F16" s="2">
        <v>400</v>
      </c>
      <c r="G16" s="2">
        <v>159.99999999999989</v>
      </c>
      <c r="H16" s="2">
        <v>112.00000000000001</v>
      </c>
    </row>
    <row r="17" spans="2:5" ht="15" customHeight="1">
      <c r="E17" s="76" t="s">
        <v>84</v>
      </c>
    </row>
    <row r="18" spans="2:5" ht="26.25">
      <c r="B18" s="16"/>
      <c r="E18" s="74"/>
    </row>
    <row r="19" spans="2:5">
      <c r="E19" s="74"/>
    </row>
  </sheetData>
  <mergeCells count="3">
    <mergeCell ref="E2:E6"/>
    <mergeCell ref="E17:E19"/>
    <mergeCell ref="G2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3346-DFDE-4BC4-B309-4E2B1FB6BD34}">
  <dimension ref="A1:G28"/>
  <sheetViews>
    <sheetView showGridLines="0" workbookViewId="0">
      <selection activeCell="G23" sqref="G23:G25"/>
    </sheetView>
  </sheetViews>
  <sheetFormatPr defaultRowHeight="15"/>
  <cols>
    <col min="1" max="1" width="2.28515625" customWidth="1"/>
    <col min="2" max="2" width="7.5703125" bestFit="1" customWidth="1"/>
    <col min="3" max="3" width="37.7109375" bestFit="1" customWidth="1"/>
    <col min="4" max="4" width="19.42578125" bestFit="1" customWidth="1"/>
    <col min="5" max="5" width="24.7109375" bestFit="1" customWidth="1"/>
    <col min="6" max="7" width="21" customWidth="1"/>
  </cols>
  <sheetData>
    <row r="1" spans="1:5">
      <c r="A1" s="1" t="s">
        <v>10</v>
      </c>
    </row>
    <row r="2" spans="1:5">
      <c r="A2" s="1" t="s">
        <v>11</v>
      </c>
    </row>
    <row r="3" spans="1:5">
      <c r="A3" s="1" t="s">
        <v>66</v>
      </c>
    </row>
    <row r="4" spans="1:5">
      <c r="A4" s="1" t="s">
        <v>12</v>
      </c>
    </row>
    <row r="5" spans="1:5">
      <c r="A5" s="1" t="s">
        <v>13</v>
      </c>
    </row>
    <row r="6" spans="1:5">
      <c r="A6" s="1"/>
      <c r="B6" t="s">
        <v>14</v>
      </c>
    </row>
    <row r="7" spans="1:5">
      <c r="A7" s="1"/>
      <c r="B7" t="s">
        <v>15</v>
      </c>
    </row>
    <row r="8" spans="1:5">
      <c r="A8" s="1"/>
      <c r="B8" t="s">
        <v>16</v>
      </c>
    </row>
    <row r="9" spans="1:5">
      <c r="A9" s="1" t="s">
        <v>17</v>
      </c>
    </row>
    <row r="10" spans="1:5">
      <c r="B10" t="s">
        <v>18</v>
      </c>
    </row>
    <row r="11" spans="1:5">
      <c r="B11" t="s">
        <v>19</v>
      </c>
    </row>
    <row r="14" spans="1:5" ht="15.75" thickBot="1">
      <c r="A14" t="s">
        <v>20</v>
      </c>
    </row>
    <row r="15" spans="1:5" ht="15.75" thickBot="1">
      <c r="B15" s="3" t="s">
        <v>21</v>
      </c>
      <c r="C15" s="3" t="s">
        <v>22</v>
      </c>
      <c r="D15" s="3" t="s">
        <v>23</v>
      </c>
      <c r="E15" s="3" t="s">
        <v>24</v>
      </c>
    </row>
    <row r="16" spans="1:5" ht="15.75" thickBot="1">
      <c r="B16" s="2" t="s">
        <v>32</v>
      </c>
      <c r="C16" s="2" t="s">
        <v>33</v>
      </c>
      <c r="D16" s="2">
        <v>0</v>
      </c>
      <c r="E16" s="2">
        <v>988.23529411764707</v>
      </c>
    </row>
    <row r="19" spans="1:7" ht="15.75" thickBot="1">
      <c r="A19" t="s">
        <v>25</v>
      </c>
    </row>
    <row r="20" spans="1:7" ht="15.75" thickBot="1">
      <c r="B20" s="3" t="s">
        <v>21</v>
      </c>
      <c r="C20" s="3" t="s">
        <v>22</v>
      </c>
      <c r="D20" s="3" t="s">
        <v>23</v>
      </c>
      <c r="E20" s="3" t="s">
        <v>24</v>
      </c>
      <c r="F20" s="3" t="s">
        <v>26</v>
      </c>
    </row>
    <row r="21" spans="1:7">
      <c r="B21" s="4" t="s">
        <v>34</v>
      </c>
      <c r="C21" s="4" t="s">
        <v>35</v>
      </c>
      <c r="D21" s="4">
        <v>0</v>
      </c>
      <c r="E21" s="4">
        <v>16.470588235294123</v>
      </c>
      <c r="F21" s="4" t="s">
        <v>36</v>
      </c>
    </row>
    <row r="22" spans="1:7" ht="15.75" thickBot="1">
      <c r="B22" s="2" t="s">
        <v>37</v>
      </c>
      <c r="C22" s="2" t="s">
        <v>38</v>
      </c>
      <c r="D22" s="2">
        <v>0</v>
      </c>
      <c r="E22" s="2">
        <v>14.117647058823525</v>
      </c>
      <c r="F22" s="2" t="s">
        <v>36</v>
      </c>
    </row>
    <row r="23" spans="1:7">
      <c r="G23" s="74" t="s">
        <v>88</v>
      </c>
    </row>
    <row r="24" spans="1:7">
      <c r="G24" s="74"/>
    </row>
    <row r="25" spans="1:7" ht="15.75" thickBot="1">
      <c r="A25" t="s">
        <v>27</v>
      </c>
      <c r="F25" s="17" t="s">
        <v>87</v>
      </c>
      <c r="G25" s="75"/>
    </row>
    <row r="26" spans="1:7" ht="15.75" thickBot="1">
      <c r="B26" s="3" t="s">
        <v>21</v>
      </c>
      <c r="C26" s="3" t="s">
        <v>22</v>
      </c>
      <c r="D26" s="3" t="s">
        <v>28</v>
      </c>
      <c r="E26" s="3" t="s">
        <v>29</v>
      </c>
      <c r="F26" s="3" t="s">
        <v>30</v>
      </c>
      <c r="G26" s="3" t="s">
        <v>31</v>
      </c>
    </row>
    <row r="27" spans="1:7">
      <c r="B27" s="4" t="s">
        <v>39</v>
      </c>
      <c r="C27" s="4" t="s">
        <v>40</v>
      </c>
      <c r="D27" s="4">
        <v>120</v>
      </c>
      <c r="E27" s="4" t="s">
        <v>41</v>
      </c>
      <c r="F27" s="4" t="s">
        <v>42</v>
      </c>
      <c r="G27" s="4">
        <v>0</v>
      </c>
    </row>
    <row r="28" spans="1:7" ht="15.75" thickBot="1">
      <c r="B28" s="2" t="s">
        <v>43</v>
      </c>
      <c r="C28" s="2" t="s">
        <v>44</v>
      </c>
      <c r="D28" s="2">
        <v>400.00000000000006</v>
      </c>
      <c r="E28" s="2" t="s">
        <v>45</v>
      </c>
      <c r="F28" s="2" t="s">
        <v>42</v>
      </c>
      <c r="G28" s="2">
        <v>0</v>
      </c>
    </row>
  </sheetData>
  <mergeCells count="1">
    <mergeCell ref="G23:G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8A6F-BE84-4BCF-8780-F89E9D0418B2}">
  <dimension ref="A1:J14"/>
  <sheetViews>
    <sheetView showGridLines="0" workbookViewId="0">
      <selection activeCell="G37" sqref="G37"/>
    </sheetView>
  </sheetViews>
  <sheetFormatPr defaultRowHeight="15"/>
  <cols>
    <col min="1" max="1" width="2.28515625" customWidth="1"/>
    <col min="2" max="2" width="7.5703125" bestFit="1" customWidth="1"/>
    <col min="3" max="3" width="24.7109375" customWidth="1"/>
    <col min="4" max="4" width="9.7109375" bestFit="1" customWidth="1"/>
    <col min="5" max="5" width="2.28515625" customWidth="1"/>
    <col min="6" max="6" width="8.42578125" bestFit="1" customWidth="1"/>
    <col min="7" max="7" width="17.42578125" bestFit="1" customWidth="1"/>
    <col min="8" max="8" width="2.28515625" customWidth="1"/>
    <col min="9" max="9" width="8.85546875" bestFit="1" customWidth="1"/>
    <col min="10" max="10" width="17.42578125" bestFit="1" customWidth="1"/>
  </cols>
  <sheetData>
    <row r="1" spans="1:10">
      <c r="A1" s="1" t="s">
        <v>60</v>
      </c>
    </row>
    <row r="2" spans="1:10">
      <c r="A2" s="1" t="s">
        <v>11</v>
      </c>
    </row>
    <row r="3" spans="1:10">
      <c r="A3" s="1" t="s">
        <v>66</v>
      </c>
    </row>
    <row r="5" spans="1:10" ht="15.75" thickBot="1"/>
    <row r="6" spans="1:10">
      <c r="B6" s="5"/>
      <c r="C6" s="5" t="s">
        <v>51</v>
      </c>
      <c r="D6" s="5"/>
    </row>
    <row r="7" spans="1:10" ht="15.75" thickBot="1">
      <c r="B7" s="6" t="s">
        <v>21</v>
      </c>
      <c r="C7" s="6" t="s">
        <v>22</v>
      </c>
      <c r="D7" s="6" t="s">
        <v>48</v>
      </c>
    </row>
    <row r="8" spans="1:10" ht="15.75" thickBot="1">
      <c r="B8" s="2" t="s">
        <v>32</v>
      </c>
      <c r="C8" s="2" t="s">
        <v>33</v>
      </c>
      <c r="D8" s="2">
        <v>988.23529411764707</v>
      </c>
    </row>
    <row r="10" spans="1:10" ht="15.75" thickBot="1"/>
    <row r="11" spans="1:10">
      <c r="B11" s="5"/>
      <c r="C11" s="5" t="s">
        <v>61</v>
      </c>
      <c r="D11" s="5"/>
      <c r="F11" s="5" t="s">
        <v>62</v>
      </c>
      <c r="G11" s="5" t="s">
        <v>51</v>
      </c>
      <c r="I11" s="5" t="s">
        <v>65</v>
      </c>
      <c r="J11" s="5" t="s">
        <v>51</v>
      </c>
    </row>
    <row r="12" spans="1:10" ht="15.75" thickBot="1">
      <c r="B12" s="6" t="s">
        <v>21</v>
      </c>
      <c r="C12" s="6" t="s">
        <v>22</v>
      </c>
      <c r="D12" s="6" t="s">
        <v>48</v>
      </c>
      <c r="F12" s="6" t="s">
        <v>63</v>
      </c>
      <c r="G12" s="6" t="s">
        <v>64</v>
      </c>
      <c r="I12" s="6" t="s">
        <v>63</v>
      </c>
      <c r="J12" s="6" t="s">
        <v>64</v>
      </c>
    </row>
    <row r="13" spans="1:10">
      <c r="B13" s="4" t="s">
        <v>34</v>
      </c>
      <c r="C13" s="4" t="s">
        <v>35</v>
      </c>
      <c r="D13" s="4">
        <v>16.470588235294123</v>
      </c>
      <c r="F13" s="4">
        <v>0</v>
      </c>
      <c r="G13" s="4">
        <v>494.11764705882337</v>
      </c>
      <c r="I13" s="4">
        <v>16.47058823529412</v>
      </c>
      <c r="J13" s="4">
        <v>988.23529411764696</v>
      </c>
    </row>
    <row r="14" spans="1:10" ht="15.75" thickBot="1">
      <c r="B14" s="2" t="s">
        <v>37</v>
      </c>
      <c r="C14" s="2" t="s">
        <v>38</v>
      </c>
      <c r="D14" s="2">
        <v>14.117647058823525</v>
      </c>
      <c r="F14" s="2">
        <v>0</v>
      </c>
      <c r="G14" s="2">
        <v>494.11764705882371</v>
      </c>
      <c r="I14" s="2">
        <v>14.117647058823522</v>
      </c>
      <c r="J14" s="2">
        <v>988.23529411764696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7AAB-86EB-4309-94E1-BB9EE3BB16F5}">
  <dimension ref="C4:X33"/>
  <sheetViews>
    <sheetView workbookViewId="0">
      <selection activeCell="H21" sqref="H21"/>
    </sheetView>
  </sheetViews>
  <sheetFormatPr defaultRowHeight="15"/>
  <cols>
    <col min="3" max="3" width="28.140625" customWidth="1"/>
    <col min="4" max="4" width="11.28515625" customWidth="1"/>
    <col min="5" max="5" width="13" customWidth="1"/>
    <col min="6" max="6" width="16.42578125" bestFit="1" customWidth="1"/>
    <col min="7" max="7" width="13.7109375" bestFit="1" customWidth="1"/>
    <col min="8" max="8" width="19.28515625" customWidth="1"/>
  </cols>
  <sheetData>
    <row r="4" spans="3:24" ht="43.5" customHeight="1">
      <c r="C4" s="19"/>
      <c r="D4" s="19" t="s">
        <v>0</v>
      </c>
      <c r="E4" s="19" t="s">
        <v>1</v>
      </c>
      <c r="F4" s="19" t="s">
        <v>3</v>
      </c>
      <c r="G4" s="19" t="s">
        <v>4</v>
      </c>
      <c r="H4" s="10" t="s">
        <v>93</v>
      </c>
    </row>
    <row r="5" spans="3:24">
      <c r="C5" s="19" t="s">
        <v>89</v>
      </c>
      <c r="D5" s="19">
        <v>1</v>
      </c>
      <c r="E5" s="19">
        <v>3</v>
      </c>
      <c r="F5" s="19" t="s">
        <v>9</v>
      </c>
      <c r="G5" s="20">
        <v>9</v>
      </c>
      <c r="H5" s="33">
        <f>SUMPRODUCT(D5:E5,$D$9:$E$9)</f>
        <v>6</v>
      </c>
      <c r="I5" s="35">
        <f>G5-H5</f>
        <v>3</v>
      </c>
      <c r="S5" s="30"/>
      <c r="T5" s="7" t="s">
        <v>104</v>
      </c>
      <c r="U5" t="s">
        <v>112</v>
      </c>
    </row>
    <row r="6" spans="3:24" ht="15" customHeight="1">
      <c r="C6" s="19" t="s">
        <v>90</v>
      </c>
      <c r="D6" s="19">
        <v>2</v>
      </c>
      <c r="E6" s="19">
        <v>1</v>
      </c>
      <c r="F6" s="19" t="s">
        <v>9</v>
      </c>
      <c r="G6" s="20">
        <v>6</v>
      </c>
      <c r="H6" s="33">
        <f t="shared" ref="H6:H8" si="0">SUMPRODUCT(D6:E6,$D$9:$E$9)</f>
        <v>2</v>
      </c>
      <c r="I6" s="35">
        <f t="shared" ref="I6:I7" si="1">G6-H6</f>
        <v>4</v>
      </c>
      <c r="U6" s="78" t="s">
        <v>111</v>
      </c>
      <c r="V6" s="78"/>
      <c r="W6" s="78"/>
      <c r="X6" s="78"/>
    </row>
    <row r="7" spans="3:24" ht="18.75" customHeight="1">
      <c r="C7" s="21" t="s">
        <v>91</v>
      </c>
      <c r="D7" s="19">
        <v>2</v>
      </c>
      <c r="E7" s="19">
        <v>4</v>
      </c>
      <c r="F7" s="19" t="s">
        <v>9</v>
      </c>
      <c r="G7" s="20">
        <v>8</v>
      </c>
      <c r="H7" s="33">
        <f t="shared" si="0"/>
        <v>8</v>
      </c>
      <c r="I7" s="35">
        <f t="shared" si="1"/>
        <v>0</v>
      </c>
      <c r="U7" s="78"/>
      <c r="V7" s="78"/>
      <c r="W7" s="78"/>
      <c r="X7" s="78"/>
    </row>
    <row r="8" spans="3:24" ht="21.75" customHeight="1">
      <c r="C8" s="19" t="s">
        <v>92</v>
      </c>
      <c r="D8" s="19">
        <v>1</v>
      </c>
      <c r="E8" s="19">
        <v>3</v>
      </c>
      <c r="F8" s="19" t="s">
        <v>94</v>
      </c>
      <c r="G8" s="19"/>
      <c r="H8" s="29">
        <f t="shared" si="0"/>
        <v>6</v>
      </c>
      <c r="U8" s="78"/>
      <c r="V8" s="78"/>
      <c r="W8" s="78"/>
      <c r="X8" s="78"/>
    </row>
    <row r="9" spans="3:24">
      <c r="C9" s="28" t="s">
        <v>8</v>
      </c>
      <c r="D9" s="31">
        <v>0</v>
      </c>
      <c r="E9" s="32">
        <v>2</v>
      </c>
      <c r="F9" s="23">
        <v>0</v>
      </c>
      <c r="G9" s="23"/>
    </row>
    <row r="10" spans="3:24">
      <c r="D10" s="17" t="s">
        <v>69</v>
      </c>
      <c r="E10" s="17" t="s">
        <v>120</v>
      </c>
      <c r="F10" s="17"/>
      <c r="G10" s="17"/>
      <c r="H10" s="17"/>
    </row>
    <row r="11" spans="3:24">
      <c r="C11" s="25" t="s">
        <v>95</v>
      </c>
    </row>
    <row r="13" spans="3:24">
      <c r="C13" s="24" t="s">
        <v>96</v>
      </c>
      <c r="F13" s="34">
        <v>0</v>
      </c>
      <c r="G13" s="34">
        <v>2</v>
      </c>
      <c r="H13" s="27" t="s">
        <v>116</v>
      </c>
    </row>
    <row r="14" spans="3:24">
      <c r="C14" s="18" t="s">
        <v>97</v>
      </c>
    </row>
    <row r="15" spans="3:24">
      <c r="G15" t="s">
        <v>118</v>
      </c>
    </row>
    <row r="16" spans="3:24">
      <c r="C16" s="77" t="s">
        <v>98</v>
      </c>
      <c r="D16" s="77"/>
      <c r="E16" s="77"/>
      <c r="G16" s="36" t="s">
        <v>117</v>
      </c>
      <c r="H16" s="27">
        <v>3.75</v>
      </c>
      <c r="I16">
        <f>3*0.75</f>
        <v>2.25</v>
      </c>
      <c r="J16" t="s">
        <v>119</v>
      </c>
    </row>
    <row r="17" spans="3:5">
      <c r="C17" s="18" t="s">
        <v>99</v>
      </c>
      <c r="D17" s="18" t="s">
        <v>9</v>
      </c>
      <c r="E17" s="18">
        <v>9</v>
      </c>
    </row>
    <row r="18" spans="3:5">
      <c r="C18" s="18" t="s">
        <v>100</v>
      </c>
      <c r="D18" s="18" t="s">
        <v>9</v>
      </c>
      <c r="E18" s="18">
        <v>6</v>
      </c>
    </row>
    <row r="19" spans="3:5">
      <c r="C19" s="18" t="s">
        <v>101</v>
      </c>
      <c r="D19" s="18" t="s">
        <v>9</v>
      </c>
      <c r="E19" s="18">
        <v>8</v>
      </c>
    </row>
    <row r="20" spans="3:5">
      <c r="C20" s="18" t="s">
        <v>102</v>
      </c>
      <c r="D20" s="18" t="s">
        <v>103</v>
      </c>
      <c r="E20" s="18">
        <v>0</v>
      </c>
    </row>
    <row r="21" spans="3:5">
      <c r="C21" s="18" t="s">
        <v>67</v>
      </c>
      <c r="D21" s="18" t="s">
        <v>103</v>
      </c>
      <c r="E21" s="18">
        <v>1</v>
      </c>
    </row>
    <row r="23" spans="3:5">
      <c r="C23" t="s">
        <v>67</v>
      </c>
      <c r="D23" s="26">
        <v>9</v>
      </c>
      <c r="E23" s="26">
        <v>0</v>
      </c>
    </row>
    <row r="24" spans="3:5">
      <c r="C24" t="s">
        <v>68</v>
      </c>
      <c r="D24" s="17">
        <v>0</v>
      </c>
      <c r="E24" s="17">
        <v>3</v>
      </c>
    </row>
    <row r="26" spans="3:5">
      <c r="C26" t="s">
        <v>67</v>
      </c>
      <c r="D26" s="26">
        <v>0</v>
      </c>
      <c r="E26" s="26">
        <v>3</v>
      </c>
    </row>
    <row r="27" spans="3:5">
      <c r="C27" t="s">
        <v>68</v>
      </c>
      <c r="D27" s="17">
        <v>6</v>
      </c>
      <c r="E27" s="17">
        <v>0</v>
      </c>
    </row>
    <row r="29" spans="3:5">
      <c r="C29" t="s">
        <v>67</v>
      </c>
      <c r="D29" s="26">
        <v>0</v>
      </c>
      <c r="E29" s="26">
        <v>4</v>
      </c>
    </row>
    <row r="30" spans="3:5">
      <c r="C30" t="s">
        <v>68</v>
      </c>
      <c r="D30" s="17">
        <v>2</v>
      </c>
      <c r="E30" s="17">
        <v>0</v>
      </c>
    </row>
    <row r="32" spans="3:5">
      <c r="C32" t="s">
        <v>67</v>
      </c>
      <c r="D32" s="26">
        <v>0</v>
      </c>
      <c r="E32" s="26">
        <v>1</v>
      </c>
    </row>
    <row r="33" spans="3:5">
      <c r="C33" t="s">
        <v>68</v>
      </c>
      <c r="D33" s="17">
        <v>0</v>
      </c>
      <c r="E33" s="17">
        <v>-0.33333333300000001</v>
      </c>
    </row>
  </sheetData>
  <mergeCells count="2">
    <mergeCell ref="C16:E16"/>
    <mergeCell ref="U6:X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8B81-86DE-4744-A1D7-AA2655B49776}">
  <dimension ref="A1:H17"/>
  <sheetViews>
    <sheetView showGridLines="0" workbookViewId="0">
      <selection activeCell="E9" sqref="E9"/>
    </sheetView>
  </sheetViews>
  <sheetFormatPr defaultRowHeight="15"/>
  <cols>
    <col min="1" max="1" width="2.28515625" customWidth="1"/>
    <col min="2" max="2" width="7.5703125" bestFit="1" customWidth="1"/>
    <col min="3" max="3" width="34.140625" bestFit="1" customWidth="1"/>
    <col min="4" max="4" width="15.42578125" bestFit="1" customWidth="1"/>
    <col min="5" max="5" width="12" bestFit="1" customWidth="1"/>
    <col min="6" max="6" width="17.42578125" bestFit="1" customWidth="1"/>
    <col min="7" max="7" width="12.42578125" bestFit="1" customWidth="1"/>
    <col min="8" max="8" width="13.28515625" bestFit="1" customWidth="1"/>
  </cols>
  <sheetData>
    <row r="1" spans="1:8">
      <c r="A1" s="1" t="s">
        <v>46</v>
      </c>
    </row>
    <row r="2" spans="1:8">
      <c r="A2" s="1" t="s">
        <v>113</v>
      </c>
    </row>
    <row r="3" spans="1:8">
      <c r="A3" s="1" t="s">
        <v>114</v>
      </c>
    </row>
    <row r="6" spans="1:8" ht="15.75" thickBot="1">
      <c r="A6" t="s">
        <v>25</v>
      </c>
      <c r="E6" t="s">
        <v>115</v>
      </c>
    </row>
    <row r="7" spans="1:8">
      <c r="B7" s="5"/>
      <c r="C7" s="5"/>
      <c r="D7" s="5" t="s">
        <v>47</v>
      </c>
      <c r="E7" s="5" t="s">
        <v>49</v>
      </c>
      <c r="F7" s="5" t="s">
        <v>51</v>
      </c>
      <c r="G7" s="5" t="s">
        <v>53</v>
      </c>
      <c r="H7" s="5" t="s">
        <v>53</v>
      </c>
    </row>
    <row r="8" spans="1:8" ht="15.75" thickBot="1">
      <c r="B8" s="6" t="s">
        <v>21</v>
      </c>
      <c r="C8" s="6" t="s">
        <v>22</v>
      </c>
      <c r="D8" s="6" t="s">
        <v>48</v>
      </c>
      <c r="E8" s="6" t="s">
        <v>50</v>
      </c>
      <c r="F8" s="6" t="s">
        <v>52</v>
      </c>
      <c r="G8" s="6" t="s">
        <v>54</v>
      </c>
      <c r="H8" s="6" t="s">
        <v>55</v>
      </c>
    </row>
    <row r="9" spans="1:8">
      <c r="B9" s="4" t="s">
        <v>105</v>
      </c>
      <c r="C9" s="4" t="s">
        <v>35</v>
      </c>
      <c r="D9" s="4">
        <v>0</v>
      </c>
      <c r="E9" s="4">
        <v>-0.5</v>
      </c>
      <c r="F9" s="4">
        <v>1</v>
      </c>
      <c r="G9" s="53">
        <v>0.5</v>
      </c>
      <c r="H9" s="53">
        <v>1E+30</v>
      </c>
    </row>
    <row r="10" spans="1:8" ht="15.75" thickBot="1">
      <c r="B10" s="2" t="s">
        <v>106</v>
      </c>
      <c r="C10" s="2" t="s">
        <v>38</v>
      </c>
      <c r="D10" s="2">
        <v>2</v>
      </c>
      <c r="E10" s="2">
        <v>0</v>
      </c>
      <c r="F10" s="2">
        <v>3</v>
      </c>
      <c r="G10" s="54">
        <v>1E+30</v>
      </c>
      <c r="H10" s="54">
        <v>1</v>
      </c>
    </row>
    <row r="12" spans="1:8" ht="15.75" thickBot="1">
      <c r="A12" t="s">
        <v>27</v>
      </c>
    </row>
    <row r="13" spans="1:8">
      <c r="B13" s="5"/>
      <c r="C13" s="5"/>
      <c r="D13" s="5" t="s">
        <v>47</v>
      </c>
      <c r="E13" s="5" t="s">
        <v>56</v>
      </c>
      <c r="F13" s="5" t="s">
        <v>58</v>
      </c>
      <c r="G13" s="5" t="s">
        <v>53</v>
      </c>
      <c r="H13" s="5" t="s">
        <v>53</v>
      </c>
    </row>
    <row r="14" spans="1:8" ht="15.75" thickBot="1">
      <c r="B14" s="6" t="s">
        <v>21</v>
      </c>
      <c r="C14" s="6" t="s">
        <v>22</v>
      </c>
      <c r="D14" s="6" t="s">
        <v>48</v>
      </c>
      <c r="E14" s="6" t="s">
        <v>57</v>
      </c>
      <c r="F14" s="6" t="s">
        <v>59</v>
      </c>
      <c r="G14" s="6" t="s">
        <v>54</v>
      </c>
      <c r="H14" s="6" t="s">
        <v>55</v>
      </c>
    </row>
    <row r="15" spans="1:8">
      <c r="B15" s="4" t="s">
        <v>107</v>
      </c>
      <c r="C15" s="4" t="s">
        <v>108</v>
      </c>
      <c r="D15" s="4">
        <v>6</v>
      </c>
      <c r="E15" s="4">
        <v>0</v>
      </c>
      <c r="F15" s="4">
        <v>9</v>
      </c>
      <c r="G15" s="4">
        <v>1E+30</v>
      </c>
      <c r="H15" s="4">
        <v>3</v>
      </c>
    </row>
    <row r="16" spans="1:8">
      <c r="B16" s="4" t="s">
        <v>109</v>
      </c>
      <c r="C16" s="4" t="s">
        <v>108</v>
      </c>
      <c r="D16" s="4">
        <v>2</v>
      </c>
      <c r="E16" s="4">
        <v>0</v>
      </c>
      <c r="F16" s="4">
        <v>6</v>
      </c>
      <c r="G16" s="4">
        <v>1E+30</v>
      </c>
      <c r="H16" s="4">
        <v>4</v>
      </c>
    </row>
    <row r="17" spans="2:8" ht="15.75" thickBot="1">
      <c r="B17" s="2" t="s">
        <v>110</v>
      </c>
      <c r="C17" s="2" t="s">
        <v>108</v>
      </c>
      <c r="D17" s="2">
        <v>8</v>
      </c>
      <c r="E17" s="2">
        <v>0.75</v>
      </c>
      <c r="F17" s="2">
        <v>8</v>
      </c>
      <c r="G17" s="2">
        <v>4</v>
      </c>
      <c r="H17" s="2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8FB0-EB26-43F3-A1DA-E2939A1651BF}">
  <dimension ref="B4:S23"/>
  <sheetViews>
    <sheetView topLeftCell="A4" workbookViewId="0">
      <selection activeCell="I24" sqref="I24"/>
    </sheetView>
  </sheetViews>
  <sheetFormatPr defaultRowHeight="15"/>
  <cols>
    <col min="2" max="2" width="21.5703125" bestFit="1" customWidth="1"/>
    <col min="3" max="3" width="25.28515625" customWidth="1"/>
    <col min="4" max="4" width="11" customWidth="1"/>
    <col min="5" max="5" width="14" customWidth="1"/>
    <col min="6" max="6" width="12" bestFit="1" customWidth="1"/>
    <col min="7" max="7" width="14.28515625" bestFit="1" customWidth="1"/>
    <col min="8" max="8" width="16.7109375" customWidth="1"/>
  </cols>
  <sheetData>
    <row r="4" spans="2:19">
      <c r="B4" s="23"/>
      <c r="C4" s="79" t="s">
        <v>121</v>
      </c>
      <c r="D4" s="80"/>
      <c r="E4" s="23"/>
      <c r="F4" s="23"/>
      <c r="G4" s="23"/>
    </row>
    <row r="5" spans="2:19" ht="42" customHeight="1">
      <c r="B5" s="19" t="s">
        <v>122</v>
      </c>
      <c r="C5" s="19" t="s">
        <v>128</v>
      </c>
      <c r="D5" s="19" t="s">
        <v>129</v>
      </c>
      <c r="E5" s="39" t="s">
        <v>130</v>
      </c>
      <c r="F5" s="19" t="s">
        <v>98</v>
      </c>
      <c r="G5" s="19" t="s">
        <v>131</v>
      </c>
    </row>
    <row r="6" spans="2:19">
      <c r="B6" s="19">
        <v>1</v>
      </c>
      <c r="C6" s="19">
        <v>7</v>
      </c>
      <c r="D6" s="19">
        <v>12</v>
      </c>
      <c r="E6" s="19">
        <f>SUMPRODUCT(C6:D6,$C$12:$D$12)</f>
        <v>550</v>
      </c>
      <c r="F6" s="19" t="s">
        <v>9</v>
      </c>
      <c r="G6" s="20">
        <v>550</v>
      </c>
    </row>
    <row r="7" spans="2:19">
      <c r="B7" s="19">
        <v>2</v>
      </c>
      <c r="C7" s="19">
        <v>10</v>
      </c>
      <c r="D7" s="19">
        <v>15</v>
      </c>
      <c r="E7" s="19">
        <f>SUMPRODUCT(C7:D7,$C$12:$D$12)</f>
        <v>693.75</v>
      </c>
      <c r="F7" s="19" t="s">
        <v>9</v>
      </c>
      <c r="G7" s="20">
        <v>800</v>
      </c>
      <c r="H7">
        <f>G7-E7</f>
        <v>106.25</v>
      </c>
    </row>
    <row r="8" spans="2:19" ht="46.5" customHeight="1">
      <c r="B8" s="21" t="s">
        <v>123</v>
      </c>
      <c r="C8" s="38">
        <v>55</v>
      </c>
      <c r="D8" s="19">
        <v>46</v>
      </c>
      <c r="E8" s="79" t="s">
        <v>132</v>
      </c>
      <c r="F8" s="80"/>
      <c r="G8" s="41">
        <f>SUMPRODUCT(C8:D8,$C$12:$D$12)+SUMPRODUCT(C9:D9,C13:$D$13)</f>
        <v>30172.500000000004</v>
      </c>
      <c r="H8" s="42">
        <v>30135</v>
      </c>
      <c r="I8" s="42">
        <f>G8-H8</f>
        <v>37.500000000003638</v>
      </c>
      <c r="K8" s="42"/>
    </row>
    <row r="9" spans="2:19" ht="47.25" customHeight="1">
      <c r="B9" s="21" t="s">
        <v>124</v>
      </c>
      <c r="C9" s="19">
        <v>65</v>
      </c>
      <c r="D9" s="19">
        <v>76</v>
      </c>
      <c r="E9" s="23"/>
      <c r="F9" s="23"/>
      <c r="G9" s="23"/>
    </row>
    <row r="10" spans="2:19">
      <c r="B10" s="19" t="s">
        <v>125</v>
      </c>
      <c r="C10" s="20">
        <v>210</v>
      </c>
      <c r="D10" s="20">
        <v>235</v>
      </c>
      <c r="E10" s="23"/>
      <c r="F10" s="23"/>
      <c r="G10" s="23"/>
    </row>
    <row r="11" spans="2:19">
      <c r="B11" s="19" t="s">
        <v>126</v>
      </c>
      <c r="C11" s="40">
        <f>SUM(C12:C13)</f>
        <v>210</v>
      </c>
      <c r="D11" s="40">
        <f>SUM(D12:D13)</f>
        <v>235</v>
      </c>
      <c r="E11" s="23"/>
      <c r="F11" s="23"/>
      <c r="G11" s="22">
        <v>0</v>
      </c>
      <c r="H11" s="22">
        <v>45.833333333333336</v>
      </c>
      <c r="J11" s="43"/>
    </row>
    <row r="12" spans="2:19">
      <c r="B12" s="19" t="s">
        <v>8</v>
      </c>
      <c r="C12" s="22">
        <v>5</v>
      </c>
      <c r="D12" s="22">
        <v>42.916666666666664</v>
      </c>
      <c r="E12" s="23"/>
      <c r="F12" s="23"/>
      <c r="G12" s="22">
        <v>210</v>
      </c>
      <c r="H12" s="22">
        <v>189.1666666666666</v>
      </c>
    </row>
    <row r="13" spans="2:19">
      <c r="B13" s="19" t="s">
        <v>127</v>
      </c>
      <c r="C13" s="22">
        <v>205</v>
      </c>
      <c r="D13" s="22">
        <v>192.08333333333334</v>
      </c>
      <c r="E13" s="23"/>
      <c r="F13" s="23"/>
      <c r="G13" s="23"/>
    </row>
    <row r="14" spans="2:19">
      <c r="B14" s="81" t="s">
        <v>70</v>
      </c>
      <c r="C14" s="82"/>
      <c r="D14" s="82"/>
      <c r="F14" s="17" t="s">
        <v>69</v>
      </c>
      <c r="G14" s="17" t="s">
        <v>162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2:19">
      <c r="B15" s="46" t="s">
        <v>96</v>
      </c>
      <c r="C15" s="15" t="s">
        <v>133</v>
      </c>
      <c r="D15" s="15"/>
    </row>
    <row r="16" spans="2:19">
      <c r="B16" s="46" t="s">
        <v>134</v>
      </c>
      <c r="C16" s="15"/>
      <c r="D16" s="15"/>
      <c r="F16" t="s">
        <v>163</v>
      </c>
    </row>
    <row r="17" spans="2:9">
      <c r="B17" s="46" t="s">
        <v>135</v>
      </c>
      <c r="C17" s="15" t="s">
        <v>138</v>
      </c>
      <c r="D17" s="15"/>
      <c r="F17" t="s">
        <v>164</v>
      </c>
      <c r="H17" s="48" t="s">
        <v>165</v>
      </c>
    </row>
    <row r="18" spans="2:9">
      <c r="B18" s="46" t="s">
        <v>136</v>
      </c>
      <c r="C18" s="15" t="s">
        <v>139</v>
      </c>
      <c r="D18" s="15"/>
    </row>
    <row r="19" spans="2:9">
      <c r="B19" s="46" t="s">
        <v>137</v>
      </c>
      <c r="C19" s="15"/>
      <c r="D19" s="15"/>
      <c r="F19" t="s">
        <v>166</v>
      </c>
    </row>
    <row r="20" spans="2:9">
      <c r="B20" s="46" t="s">
        <v>0</v>
      </c>
      <c r="C20" s="15" t="s">
        <v>140</v>
      </c>
      <c r="D20" s="15"/>
      <c r="F20" t="s">
        <v>167</v>
      </c>
      <c r="I20" s="26" t="s">
        <v>168</v>
      </c>
    </row>
    <row r="21" spans="2:9">
      <c r="B21" s="46" t="s">
        <v>1</v>
      </c>
      <c r="C21" s="15" t="s">
        <v>141</v>
      </c>
      <c r="D21" s="15"/>
    </row>
    <row r="22" spans="2:9">
      <c r="B22" s="46" t="s">
        <v>78</v>
      </c>
      <c r="C22" s="15" t="s">
        <v>142</v>
      </c>
      <c r="D22" s="15"/>
      <c r="F22" t="s">
        <v>169</v>
      </c>
    </row>
    <row r="23" spans="2:9">
      <c r="B23" s="15"/>
      <c r="C23" s="15"/>
      <c r="D23" s="15"/>
      <c r="F23" t="s">
        <v>170</v>
      </c>
      <c r="I23" s="30" t="s">
        <v>309</v>
      </c>
    </row>
  </sheetData>
  <mergeCells count="3">
    <mergeCell ref="E8:F8"/>
    <mergeCell ref="C4:D4"/>
    <mergeCell ref="B14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33E4-4C3C-4FF2-B70F-BB359D25D2D3}">
  <dimension ref="A1:H21"/>
  <sheetViews>
    <sheetView showGridLines="0" workbookViewId="0">
      <selection activeCell="G11" sqref="G11"/>
    </sheetView>
  </sheetViews>
  <sheetFormatPr defaultRowHeight="15"/>
  <cols>
    <col min="1" max="1" width="2.28515625" customWidth="1"/>
    <col min="2" max="2" width="7.5703125" bestFit="1" customWidth="1"/>
    <col min="3" max="3" width="27.5703125" bestFit="1" customWidth="1"/>
    <col min="4" max="4" width="15.42578125" bestFit="1" customWidth="1"/>
    <col min="5" max="5" width="46.7109375" customWidth="1"/>
    <col min="6" max="6" width="17.42578125" bestFit="1" customWidth="1"/>
    <col min="7" max="7" width="12.42578125" bestFit="1" customWidth="1"/>
    <col min="8" max="8" width="13.28515625" bestFit="1" customWidth="1"/>
  </cols>
  <sheetData>
    <row r="1" spans="1:8">
      <c r="A1" s="1" t="s">
        <v>46</v>
      </c>
    </row>
    <row r="2" spans="1:8">
      <c r="A2" s="1" t="s">
        <v>143</v>
      </c>
    </row>
    <row r="3" spans="1:8">
      <c r="A3" s="1" t="s">
        <v>158</v>
      </c>
    </row>
    <row r="6" spans="1:8" ht="15.75" thickBot="1">
      <c r="A6" t="s">
        <v>25</v>
      </c>
      <c r="E6" t="s">
        <v>159</v>
      </c>
    </row>
    <row r="7" spans="1:8">
      <c r="B7" s="5"/>
      <c r="C7" s="5"/>
      <c r="D7" s="5" t="s">
        <v>47</v>
      </c>
      <c r="E7" s="5" t="s">
        <v>49</v>
      </c>
      <c r="F7" s="5" t="s">
        <v>51</v>
      </c>
      <c r="G7" s="5" t="s">
        <v>53</v>
      </c>
      <c r="H7" s="5" t="s">
        <v>53</v>
      </c>
    </row>
    <row r="8" spans="1:8" ht="15.75" thickBot="1">
      <c r="B8" s="6" t="s">
        <v>21</v>
      </c>
      <c r="C8" s="6" t="s">
        <v>22</v>
      </c>
      <c r="D8" s="6" t="s">
        <v>48</v>
      </c>
      <c r="E8" s="6" t="s">
        <v>50</v>
      </c>
      <c r="F8" s="6" t="s">
        <v>52</v>
      </c>
      <c r="G8" s="6" t="s">
        <v>54</v>
      </c>
      <c r="H8" s="6" t="s">
        <v>55</v>
      </c>
    </row>
    <row r="9" spans="1:8">
      <c r="B9" s="4" t="s">
        <v>144</v>
      </c>
      <c r="C9" s="4" t="s">
        <v>145</v>
      </c>
      <c r="D9" s="44">
        <v>0</v>
      </c>
      <c r="E9" s="49">
        <v>7.5000000000000027</v>
      </c>
      <c r="F9" s="4">
        <v>55</v>
      </c>
      <c r="G9" s="4">
        <v>1E+30</v>
      </c>
      <c r="H9" s="4">
        <v>7.5000000000000027</v>
      </c>
    </row>
    <row r="10" spans="1:8">
      <c r="B10" s="4" t="s">
        <v>146</v>
      </c>
      <c r="C10" s="4" t="s">
        <v>147</v>
      </c>
      <c r="D10" s="44">
        <v>45.833333333333336</v>
      </c>
      <c r="E10" s="4">
        <v>0</v>
      </c>
      <c r="F10" s="4">
        <v>46</v>
      </c>
      <c r="G10" s="4">
        <v>12.857142857142861</v>
      </c>
      <c r="H10" s="4">
        <v>1E+30</v>
      </c>
    </row>
    <row r="11" spans="1:8">
      <c r="B11" s="4" t="s">
        <v>148</v>
      </c>
      <c r="C11" s="4" t="s">
        <v>149</v>
      </c>
      <c r="D11" s="44">
        <v>210</v>
      </c>
      <c r="E11" s="4">
        <v>0</v>
      </c>
      <c r="F11" s="4">
        <v>65</v>
      </c>
      <c r="G11" s="47">
        <v>7.5000000000000027</v>
      </c>
      <c r="H11" s="4">
        <v>1E+30</v>
      </c>
    </row>
    <row r="12" spans="1:8" ht="15.75" thickBot="1">
      <c r="B12" s="2" t="s">
        <v>150</v>
      </c>
      <c r="C12" s="2" t="s">
        <v>151</v>
      </c>
      <c r="D12" s="45">
        <v>189.16666666666666</v>
      </c>
      <c r="E12" s="2">
        <v>0</v>
      </c>
      <c r="F12" s="2">
        <v>76</v>
      </c>
      <c r="G12" s="2">
        <v>1E+30</v>
      </c>
      <c r="H12" s="2">
        <v>12.857142857142861</v>
      </c>
    </row>
    <row r="14" spans="1:8" ht="15.75" thickBot="1">
      <c r="A14" t="s">
        <v>27</v>
      </c>
      <c r="E14" t="s">
        <v>160</v>
      </c>
    </row>
    <row r="15" spans="1:8">
      <c r="B15" s="5"/>
      <c r="C15" s="5"/>
      <c r="D15" s="5" t="s">
        <v>47</v>
      </c>
      <c r="E15" s="5" t="s">
        <v>56</v>
      </c>
      <c r="F15" s="5" t="s">
        <v>58</v>
      </c>
      <c r="G15" s="5" t="s">
        <v>53</v>
      </c>
      <c r="H15" s="5" t="s">
        <v>53</v>
      </c>
    </row>
    <row r="16" spans="1:8" ht="15.75" thickBot="1">
      <c r="B16" s="6" t="s">
        <v>21</v>
      </c>
      <c r="C16" s="6" t="s">
        <v>22</v>
      </c>
      <c r="D16" s="6" t="s">
        <v>48</v>
      </c>
      <c r="E16" s="6" t="s">
        <v>57</v>
      </c>
      <c r="F16" s="6" t="s">
        <v>59</v>
      </c>
      <c r="G16" s="6" t="s">
        <v>54</v>
      </c>
      <c r="H16" s="6" t="s">
        <v>55</v>
      </c>
    </row>
    <row r="17" spans="2:8">
      <c r="B17" s="4" t="s">
        <v>152</v>
      </c>
      <c r="C17" s="4" t="s">
        <v>153</v>
      </c>
      <c r="D17" s="4">
        <v>210</v>
      </c>
      <c r="E17" s="4">
        <v>-65</v>
      </c>
      <c r="F17" s="4">
        <v>0</v>
      </c>
      <c r="G17" s="4">
        <v>210</v>
      </c>
      <c r="H17" s="4">
        <v>1E+30</v>
      </c>
    </row>
    <row r="18" spans="2:8">
      <c r="B18" s="4" t="s">
        <v>154</v>
      </c>
      <c r="C18" s="4" t="s">
        <v>155</v>
      </c>
      <c r="D18" s="4">
        <v>235</v>
      </c>
      <c r="E18" s="4">
        <v>-76</v>
      </c>
      <c r="F18" s="4">
        <v>0</v>
      </c>
      <c r="G18" s="4">
        <v>189.16666666666666</v>
      </c>
      <c r="H18" s="4">
        <v>1E+30</v>
      </c>
    </row>
    <row r="19" spans="2:8">
      <c r="B19" s="4" t="s">
        <v>156</v>
      </c>
      <c r="C19" s="4" t="s">
        <v>130</v>
      </c>
      <c r="D19" s="4">
        <v>550</v>
      </c>
      <c r="E19" s="50">
        <v>-2.4999999999999996</v>
      </c>
      <c r="F19" s="4">
        <v>550</v>
      </c>
      <c r="G19" s="4">
        <v>90.000000000000043</v>
      </c>
      <c r="H19" s="4">
        <v>550.00000000000011</v>
      </c>
    </row>
    <row r="20" spans="2:8" ht="15.75" thickBot="1">
      <c r="B20" s="2" t="s">
        <v>157</v>
      </c>
      <c r="C20" s="2" t="s">
        <v>130</v>
      </c>
      <c r="D20" s="2">
        <v>687.5</v>
      </c>
      <c r="E20" s="2">
        <v>0</v>
      </c>
      <c r="F20" s="2">
        <v>800</v>
      </c>
      <c r="G20" s="2">
        <v>1E+30</v>
      </c>
      <c r="H20" s="2">
        <v>112.50000000000003</v>
      </c>
    </row>
    <row r="21" spans="2:8">
      <c r="E21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D319-A3D4-41C9-A4F4-FDF4EDA2AC48}">
  <dimension ref="B5:N20"/>
  <sheetViews>
    <sheetView workbookViewId="0">
      <selection activeCell="G9" sqref="G9"/>
    </sheetView>
  </sheetViews>
  <sheetFormatPr defaultRowHeight="15"/>
  <cols>
    <col min="2" max="2" width="20.140625" customWidth="1"/>
    <col min="3" max="3" width="11.5703125" customWidth="1"/>
    <col min="4" max="4" width="11.28515625" customWidth="1"/>
    <col min="5" max="5" width="19.5703125" customWidth="1"/>
    <col min="6" max="6" width="15.42578125" customWidth="1"/>
    <col min="7" max="7" width="15.140625" customWidth="1"/>
  </cols>
  <sheetData>
    <row r="5" spans="2:14" ht="33" customHeight="1">
      <c r="B5" s="19" t="s">
        <v>174</v>
      </c>
      <c r="C5" s="19" t="s">
        <v>177</v>
      </c>
      <c r="D5" s="19" t="s">
        <v>178</v>
      </c>
      <c r="E5" s="21" t="s">
        <v>130</v>
      </c>
      <c r="F5" s="19" t="s">
        <v>98</v>
      </c>
      <c r="G5" s="19" t="s">
        <v>179</v>
      </c>
    </row>
    <row r="6" spans="2:14">
      <c r="B6" s="19">
        <v>1</v>
      </c>
      <c r="C6" s="19">
        <v>0.02</v>
      </c>
      <c r="D6" s="19">
        <v>0.01</v>
      </c>
      <c r="E6" s="19">
        <f>SUMPRODUCT(C6:D6,$C$10:$D$10)</f>
        <v>56.666666666666671</v>
      </c>
      <c r="F6" s="19" t="s">
        <v>9</v>
      </c>
      <c r="G6" s="20">
        <v>60</v>
      </c>
    </row>
    <row r="7" spans="2:14">
      <c r="B7" s="19">
        <v>2</v>
      </c>
      <c r="C7" s="19">
        <v>0.03</v>
      </c>
      <c r="D7" s="19">
        <v>0.01</v>
      </c>
      <c r="E7" s="19">
        <f t="shared" ref="E7:E8" si="0">SUMPRODUCT(C7:D7,$C$10:$D$10)</f>
        <v>70</v>
      </c>
      <c r="F7" s="19" t="s">
        <v>9</v>
      </c>
      <c r="G7" s="20">
        <v>70</v>
      </c>
    </row>
    <row r="8" spans="2:14">
      <c r="B8" s="19">
        <v>3</v>
      </c>
      <c r="C8" s="19">
        <v>0.03</v>
      </c>
      <c r="D8" s="19">
        <v>0.02</v>
      </c>
      <c r="E8" s="19">
        <f t="shared" si="0"/>
        <v>100</v>
      </c>
      <c r="F8" s="19" t="s">
        <v>9</v>
      </c>
      <c r="G8" s="20">
        <v>100</v>
      </c>
    </row>
    <row r="9" spans="2:14" ht="24" customHeight="1">
      <c r="B9" s="19" t="s">
        <v>175</v>
      </c>
      <c r="C9" s="19">
        <v>10</v>
      </c>
      <c r="D9" s="19">
        <v>4</v>
      </c>
      <c r="E9" s="83" t="s">
        <v>182</v>
      </c>
      <c r="F9" s="83"/>
      <c r="G9" s="24">
        <f>SUMPRODUCT(C9:D9,$C$10:$D$10)</f>
        <v>25333.333333333336</v>
      </c>
      <c r="H9">
        <v>25333.333333333336</v>
      </c>
    </row>
    <row r="10" spans="2:14">
      <c r="B10" s="19" t="s">
        <v>176</v>
      </c>
      <c r="C10" s="37">
        <v>1333.3333333333335</v>
      </c>
      <c r="D10" s="37">
        <v>2999.9999999999995</v>
      </c>
      <c r="E10" s="23"/>
      <c r="F10" s="23"/>
      <c r="G10" s="23"/>
    </row>
    <row r="11" spans="2:14">
      <c r="B11" s="23"/>
      <c r="C11" s="23"/>
      <c r="D11" s="23"/>
      <c r="E11" s="52" t="s">
        <v>69</v>
      </c>
      <c r="F11" s="60" t="s">
        <v>237</v>
      </c>
      <c r="G11" s="60"/>
      <c r="H11" s="60"/>
      <c r="I11" s="60"/>
      <c r="J11" s="60"/>
      <c r="K11" s="60"/>
      <c r="L11" s="60"/>
      <c r="M11" s="17"/>
      <c r="N11" s="17"/>
    </row>
    <row r="12" spans="2:14">
      <c r="B12" s="51" t="s">
        <v>96</v>
      </c>
      <c r="C12" s="23"/>
      <c r="D12" s="23"/>
      <c r="E12" s="23"/>
      <c r="F12" s="23"/>
      <c r="G12" s="23"/>
    </row>
    <row r="13" spans="2:14">
      <c r="B13" s="51" t="s">
        <v>171</v>
      </c>
      <c r="C13" s="23"/>
      <c r="D13" s="23"/>
      <c r="E13" s="23"/>
      <c r="F13" s="23"/>
      <c r="G13" s="37">
        <v>1333.3333333333335</v>
      </c>
      <c r="H13" s="37">
        <v>2999.9999999999995</v>
      </c>
    </row>
    <row r="14" spans="2:14">
      <c r="B14" s="48"/>
    </row>
    <row r="15" spans="2:14">
      <c r="B15" s="48" t="s">
        <v>98</v>
      </c>
    </row>
    <row r="16" spans="2:14">
      <c r="B16" s="48" t="s">
        <v>172</v>
      </c>
      <c r="E16" t="s">
        <v>189</v>
      </c>
    </row>
    <row r="17" spans="2:7">
      <c r="B17" s="48" t="s">
        <v>173</v>
      </c>
      <c r="E17" t="s">
        <v>190</v>
      </c>
      <c r="G17" t="s">
        <v>191</v>
      </c>
    </row>
    <row r="18" spans="2:7">
      <c r="B18" s="48" t="s">
        <v>180</v>
      </c>
    </row>
    <row r="19" spans="2:7">
      <c r="E19" t="s">
        <v>192</v>
      </c>
    </row>
    <row r="20" spans="2:7">
      <c r="E20" t="s">
        <v>190</v>
      </c>
      <c r="G20" t="s">
        <v>193</v>
      </c>
    </row>
  </sheetData>
  <mergeCells count="1">
    <mergeCell ref="E9:F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C40C-39EB-4F90-8EE9-7B2A53BBE37A}">
  <dimension ref="A1:H18"/>
  <sheetViews>
    <sheetView showGridLines="0" workbookViewId="0">
      <selection activeCell="E16" sqref="E16"/>
    </sheetView>
  </sheetViews>
  <sheetFormatPr defaultRowHeight="15"/>
  <cols>
    <col min="1" max="1" width="2.28515625" customWidth="1"/>
    <col min="2" max="2" width="7.5703125" bestFit="1" customWidth="1"/>
    <col min="3" max="3" width="27.5703125" bestFit="1" customWidth="1"/>
    <col min="4" max="4" width="15.42578125" bestFit="1" customWidth="1"/>
    <col min="5" max="5" width="12" bestFit="1" customWidth="1"/>
    <col min="6" max="6" width="17.42578125" bestFit="1" customWidth="1"/>
    <col min="7" max="7" width="14.7109375" customWidth="1"/>
    <col min="8" max="8" width="13.28515625" bestFit="1" customWidth="1"/>
  </cols>
  <sheetData>
    <row r="1" spans="1:8">
      <c r="A1" s="1" t="s">
        <v>46</v>
      </c>
    </row>
    <row r="2" spans="1:8">
      <c r="A2" s="1" t="s">
        <v>183</v>
      </c>
    </row>
    <row r="3" spans="1:8">
      <c r="A3" s="1" t="s">
        <v>184</v>
      </c>
    </row>
    <row r="6" spans="1:8" ht="15.75" thickBot="1">
      <c r="A6" t="s">
        <v>25</v>
      </c>
      <c r="G6" t="s">
        <v>187</v>
      </c>
    </row>
    <row r="7" spans="1:8">
      <c r="B7" s="5"/>
      <c r="C7" s="5"/>
      <c r="D7" s="5" t="s">
        <v>47</v>
      </c>
      <c r="E7" s="5" t="s">
        <v>49</v>
      </c>
      <c r="F7" s="5" t="s">
        <v>51</v>
      </c>
      <c r="G7" s="5" t="s">
        <v>53</v>
      </c>
      <c r="H7" s="5" t="s">
        <v>53</v>
      </c>
    </row>
    <row r="8" spans="1:8" ht="15.75" thickBot="1">
      <c r="B8" s="6" t="s">
        <v>21</v>
      </c>
      <c r="C8" s="6" t="s">
        <v>22</v>
      </c>
      <c r="D8" s="6" t="s">
        <v>48</v>
      </c>
      <c r="E8" s="6" t="s">
        <v>50</v>
      </c>
      <c r="F8" s="6" t="s">
        <v>52</v>
      </c>
      <c r="G8" s="6" t="s">
        <v>54</v>
      </c>
      <c r="H8" s="6" t="s">
        <v>55</v>
      </c>
    </row>
    <row r="9" spans="1:8">
      <c r="B9" s="4" t="s">
        <v>152</v>
      </c>
      <c r="C9" s="4" t="s">
        <v>185</v>
      </c>
      <c r="D9" s="4">
        <v>1333.3333333333335</v>
      </c>
      <c r="E9" s="4">
        <v>0</v>
      </c>
      <c r="F9" s="4">
        <v>10</v>
      </c>
      <c r="G9" s="4">
        <v>1.9999999999999967</v>
      </c>
      <c r="H9" s="4">
        <v>4.0000000000000018</v>
      </c>
    </row>
    <row r="10" spans="1:8" ht="15.75" thickBot="1">
      <c r="B10" s="2" t="s">
        <v>154</v>
      </c>
      <c r="C10" s="2" t="s">
        <v>186</v>
      </c>
      <c r="D10" s="2">
        <v>2999.9999999999995</v>
      </c>
      <c r="E10" s="2">
        <v>0</v>
      </c>
      <c r="F10" s="2">
        <v>4</v>
      </c>
      <c r="G10" s="2">
        <v>2.6666666666666683</v>
      </c>
      <c r="H10" s="2">
        <v>0.66666666666666563</v>
      </c>
    </row>
    <row r="12" spans="1:8" ht="15.75" thickBot="1">
      <c r="A12" t="s">
        <v>27</v>
      </c>
    </row>
    <row r="13" spans="1:8">
      <c r="B13" s="5"/>
      <c r="C13" s="5"/>
      <c r="D13" s="5" t="s">
        <v>47</v>
      </c>
      <c r="E13" s="5" t="s">
        <v>56</v>
      </c>
      <c r="F13" s="5" t="s">
        <v>58</v>
      </c>
      <c r="G13" s="5" t="s">
        <v>53</v>
      </c>
      <c r="H13" s="5" t="s">
        <v>53</v>
      </c>
    </row>
    <row r="14" spans="1:8" ht="15.75" thickBot="1">
      <c r="B14" s="6" t="s">
        <v>21</v>
      </c>
      <c r="C14" s="6" t="s">
        <v>22</v>
      </c>
      <c r="D14" s="6" t="s">
        <v>48</v>
      </c>
      <c r="E14" s="6" t="s">
        <v>57</v>
      </c>
      <c r="F14" s="6" t="s">
        <v>59</v>
      </c>
      <c r="G14" s="6" t="s">
        <v>54</v>
      </c>
      <c r="H14" s="6" t="s">
        <v>55</v>
      </c>
    </row>
    <row r="15" spans="1:8">
      <c r="B15" s="4" t="s">
        <v>156</v>
      </c>
      <c r="C15" s="4" t="s">
        <v>130</v>
      </c>
      <c r="D15" s="4">
        <v>56.666666666666671</v>
      </c>
      <c r="E15" s="4">
        <v>0</v>
      </c>
      <c r="F15" s="4">
        <v>60</v>
      </c>
      <c r="G15" s="4">
        <v>1E+30</v>
      </c>
      <c r="H15" s="4">
        <v>3.333333333333341</v>
      </c>
    </row>
    <row r="16" spans="1:8">
      <c r="B16" s="4" t="s">
        <v>157</v>
      </c>
      <c r="C16" s="4" t="s">
        <v>130</v>
      </c>
      <c r="D16" s="4">
        <v>70</v>
      </c>
      <c r="E16" s="50">
        <v>266.6666666666668</v>
      </c>
      <c r="F16" s="4">
        <v>70</v>
      </c>
      <c r="G16" s="4">
        <v>10.000000000000009</v>
      </c>
      <c r="H16" s="4">
        <v>20</v>
      </c>
    </row>
    <row r="17" spans="2:8" ht="15.75" thickBot="1">
      <c r="B17" s="2" t="s">
        <v>37</v>
      </c>
      <c r="C17" s="2" t="s">
        <v>130</v>
      </c>
      <c r="D17" s="2">
        <v>100</v>
      </c>
      <c r="E17" s="2">
        <v>66.666666666666558</v>
      </c>
      <c r="F17" s="2">
        <v>100</v>
      </c>
      <c r="G17" s="2">
        <v>10.000000000000036</v>
      </c>
      <c r="H17" s="2">
        <v>30</v>
      </c>
    </row>
    <row r="18" spans="2:8">
      <c r="E18" s="30" t="s">
        <v>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B2AE5-AEE9-4952-9F14-3C1D72453F6C}">
  <dimension ref="C5:M18"/>
  <sheetViews>
    <sheetView workbookViewId="0">
      <selection activeCell="L18" sqref="L18"/>
    </sheetView>
  </sheetViews>
  <sheetFormatPr defaultRowHeight="15"/>
  <cols>
    <col min="3" max="3" width="17.85546875" customWidth="1"/>
    <col min="6" max="6" width="15.7109375" customWidth="1"/>
    <col min="7" max="7" width="13" customWidth="1"/>
    <col min="8" max="8" width="11.42578125" customWidth="1"/>
    <col min="9" max="9" width="9.28515625" customWidth="1"/>
    <col min="12" max="12" width="11" customWidth="1"/>
    <col min="13" max="13" width="13" customWidth="1"/>
  </cols>
  <sheetData>
    <row r="5" spans="3:13" ht="44.25" customHeight="1">
      <c r="C5" s="19" t="s">
        <v>194</v>
      </c>
      <c r="D5" s="19" t="s">
        <v>195</v>
      </c>
      <c r="E5" s="19" t="s">
        <v>196</v>
      </c>
      <c r="F5" s="21" t="s">
        <v>130</v>
      </c>
      <c r="G5" s="19" t="s">
        <v>98</v>
      </c>
      <c r="H5" s="19" t="s">
        <v>179</v>
      </c>
      <c r="L5" s="48" t="s">
        <v>70</v>
      </c>
      <c r="M5" s="48"/>
    </row>
    <row r="6" spans="3:13">
      <c r="C6" s="19">
        <v>1</v>
      </c>
      <c r="D6" s="19">
        <v>1.2</v>
      </c>
      <c r="E6" s="19">
        <v>1.8</v>
      </c>
      <c r="F6" s="19">
        <f>SUMPRODUCT(D6:E6,$D$9:$E$9)</f>
        <v>120</v>
      </c>
      <c r="G6" s="19" t="s">
        <v>9</v>
      </c>
      <c r="H6" s="20">
        <v>120</v>
      </c>
      <c r="L6" s="48" t="s">
        <v>96</v>
      </c>
      <c r="M6" s="48"/>
    </row>
    <row r="7" spans="3:13">
      <c r="C7" s="19">
        <v>2</v>
      </c>
      <c r="D7" s="19">
        <v>1</v>
      </c>
      <c r="E7" s="19">
        <v>1</v>
      </c>
      <c r="F7" s="19">
        <f>SUMPRODUCT(D7:E7,$D$9:$E$9)</f>
        <v>90</v>
      </c>
      <c r="G7" s="19" t="s">
        <v>9</v>
      </c>
      <c r="H7" s="20">
        <v>90</v>
      </c>
      <c r="L7" s="48" t="s">
        <v>198</v>
      </c>
      <c r="M7" s="48"/>
    </row>
    <row r="8" spans="3:13" ht="27.75" customHeight="1">
      <c r="C8" s="21" t="s">
        <v>197</v>
      </c>
      <c r="D8" s="19">
        <v>1500</v>
      </c>
      <c r="E8" s="19">
        <v>2000</v>
      </c>
      <c r="F8" s="83" t="s">
        <v>181</v>
      </c>
      <c r="G8" s="83"/>
      <c r="H8" s="24">
        <f>D8*D9+E8*E9</f>
        <v>145000</v>
      </c>
      <c r="L8" s="48"/>
      <c r="M8" s="48"/>
    </row>
    <row r="9" spans="3:13">
      <c r="C9" s="19" t="s">
        <v>176</v>
      </c>
      <c r="D9" s="37">
        <v>70</v>
      </c>
      <c r="E9" s="37">
        <v>20</v>
      </c>
      <c r="F9" s="23"/>
      <c r="G9" s="23"/>
      <c r="H9" s="23"/>
      <c r="L9" s="48" t="s">
        <v>199</v>
      </c>
      <c r="M9" s="48"/>
    </row>
    <row r="10" spans="3:13">
      <c r="L10" s="48" t="s">
        <v>200</v>
      </c>
      <c r="M10" s="48"/>
    </row>
    <row r="11" spans="3:13">
      <c r="C11" t="s">
        <v>203</v>
      </c>
      <c r="L11" s="48" t="s">
        <v>201</v>
      </c>
      <c r="M11" s="48"/>
    </row>
    <row r="12" spans="3:13">
      <c r="L12" s="48" t="s">
        <v>202</v>
      </c>
      <c r="M12" s="48"/>
    </row>
    <row r="14" spans="3:13">
      <c r="C14" t="s">
        <v>204</v>
      </c>
      <c r="I14" s="24">
        <v>147500</v>
      </c>
    </row>
    <row r="15" spans="3:13">
      <c r="C15" t="s">
        <v>310</v>
      </c>
      <c r="F15" t="s">
        <v>205</v>
      </c>
    </row>
    <row r="17" spans="3:6">
      <c r="C17" t="s">
        <v>206</v>
      </c>
    </row>
    <row r="18" spans="3:6">
      <c r="C18" t="s">
        <v>207</v>
      </c>
      <c r="F18" t="s">
        <v>208</v>
      </c>
    </row>
  </sheetData>
  <mergeCells count="1">
    <mergeCell ref="F8:G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01F7-3263-424E-9A79-275ABD3E5A9B}">
  <dimension ref="B3:J21"/>
  <sheetViews>
    <sheetView topLeftCell="B1" workbookViewId="0">
      <selection activeCell="F22" sqref="F22"/>
    </sheetView>
  </sheetViews>
  <sheetFormatPr defaultRowHeight="15"/>
  <cols>
    <col min="2" max="2" width="33.7109375" customWidth="1"/>
    <col min="5" max="5" width="12.42578125" customWidth="1"/>
    <col min="6" max="6" width="12.140625" customWidth="1"/>
  </cols>
  <sheetData>
    <row r="3" spans="2:10">
      <c r="I3" t="s">
        <v>225</v>
      </c>
    </row>
    <row r="5" spans="2:10">
      <c r="B5" s="19" t="s">
        <v>209</v>
      </c>
      <c r="C5" s="19">
        <v>1</v>
      </c>
      <c r="D5" s="19">
        <v>2</v>
      </c>
      <c r="E5" s="19" t="s">
        <v>214</v>
      </c>
      <c r="F5" s="19" t="s">
        <v>213</v>
      </c>
    </row>
    <row r="6" spans="2:10">
      <c r="B6" s="19" t="s">
        <v>210</v>
      </c>
      <c r="C6" s="19">
        <v>0.6</v>
      </c>
      <c r="D6" s="19">
        <v>0.2</v>
      </c>
      <c r="E6" s="20">
        <v>110</v>
      </c>
      <c r="F6" s="19">
        <f>SUMPRODUCT(C6:D6,$C$8:$D$8)</f>
        <v>110</v>
      </c>
    </row>
    <row r="7" spans="2:10">
      <c r="B7" s="19" t="s">
        <v>211</v>
      </c>
      <c r="C7" s="19">
        <v>0.3</v>
      </c>
      <c r="D7" s="19">
        <v>0.7</v>
      </c>
      <c r="E7" s="20">
        <v>70</v>
      </c>
      <c r="F7" s="19">
        <f>SUMPRODUCT(C7:D7,$C$8:$D$8)</f>
        <v>70</v>
      </c>
    </row>
    <row r="8" spans="2:10" ht="27.75" customHeight="1">
      <c r="B8" s="19" t="s">
        <v>212</v>
      </c>
      <c r="C8" s="37">
        <v>175</v>
      </c>
      <c r="D8" s="37">
        <v>25.000000000000004</v>
      </c>
      <c r="E8" s="83" t="s">
        <v>215</v>
      </c>
      <c r="F8" s="83"/>
      <c r="G8" s="24">
        <f>SUMPRODUCT(C8:D8,C9:D9)</f>
        <v>200</v>
      </c>
      <c r="I8" s="27">
        <v>200</v>
      </c>
      <c r="J8">
        <f>G8-I8</f>
        <v>0</v>
      </c>
    </row>
    <row r="9" spans="2:10">
      <c r="B9" s="23" t="s">
        <v>234</v>
      </c>
      <c r="C9" s="23">
        <v>1</v>
      </c>
      <c r="D9" s="23">
        <v>1</v>
      </c>
      <c r="I9" s="34">
        <v>175</v>
      </c>
      <c r="J9" s="34">
        <v>25</v>
      </c>
    </row>
    <row r="10" spans="2:10">
      <c r="B10" s="23" t="s">
        <v>216</v>
      </c>
    </row>
    <row r="11" spans="2:10">
      <c r="B11" s="23" t="s">
        <v>98</v>
      </c>
      <c r="I11" t="s">
        <v>235</v>
      </c>
    </row>
    <row r="12" spans="2:10">
      <c r="B12" t="s">
        <v>217</v>
      </c>
      <c r="I12" t="s">
        <v>236</v>
      </c>
    </row>
    <row r="13" spans="2:10">
      <c r="B13" t="s">
        <v>218</v>
      </c>
    </row>
    <row r="14" spans="2:10">
      <c r="B14" t="s">
        <v>219</v>
      </c>
    </row>
    <row r="17" spans="2:3">
      <c r="B17" t="s">
        <v>220</v>
      </c>
    </row>
    <row r="18" spans="2:3">
      <c r="B18" t="s">
        <v>221</v>
      </c>
    </row>
    <row r="19" spans="2:3">
      <c r="B19" t="s">
        <v>222</v>
      </c>
      <c r="C19" s="34" t="s">
        <v>231</v>
      </c>
    </row>
    <row r="20" spans="2:3">
      <c r="B20" t="s">
        <v>223</v>
      </c>
    </row>
    <row r="21" spans="2:3">
      <c r="B21" t="s">
        <v>224</v>
      </c>
      <c r="C21" s="34" t="s">
        <v>232</v>
      </c>
    </row>
  </sheetData>
  <mergeCells count="1">
    <mergeCell ref="E8:F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2572-51BF-4C24-96D4-1B27D47A5218}">
  <dimension ref="A1:H16"/>
  <sheetViews>
    <sheetView showGridLines="0" workbookViewId="0">
      <selection activeCell="E12" sqref="E12"/>
    </sheetView>
  </sheetViews>
  <sheetFormatPr defaultRowHeight="15"/>
  <cols>
    <col min="1" max="1" width="2.28515625" customWidth="1"/>
    <col min="2" max="2" width="7.5703125" bestFit="1" customWidth="1"/>
    <col min="3" max="3" width="32.7109375" bestFit="1" customWidth="1"/>
    <col min="4" max="4" width="15.42578125" bestFit="1" customWidth="1"/>
    <col min="5" max="5" width="12" bestFit="1" customWidth="1"/>
    <col min="6" max="6" width="17.42578125" bestFit="1" customWidth="1"/>
    <col min="7" max="7" width="12.42578125" bestFit="1" customWidth="1"/>
    <col min="8" max="8" width="13.28515625" bestFit="1" customWidth="1"/>
  </cols>
  <sheetData>
    <row r="1" spans="1:8">
      <c r="A1" s="1" t="s">
        <v>46</v>
      </c>
    </row>
    <row r="2" spans="1:8">
      <c r="A2" s="1" t="s">
        <v>226</v>
      </c>
    </row>
    <row r="3" spans="1:8">
      <c r="A3" s="1" t="s">
        <v>227</v>
      </c>
    </row>
    <row r="6" spans="1:8" ht="15.75" thickBot="1">
      <c r="A6" t="s">
        <v>25</v>
      </c>
      <c r="E6" t="s">
        <v>233</v>
      </c>
    </row>
    <row r="7" spans="1:8">
      <c r="B7" s="5"/>
      <c r="C7" s="5"/>
      <c r="D7" s="5" t="s">
        <v>47</v>
      </c>
      <c r="E7" s="5" t="s">
        <v>49</v>
      </c>
      <c r="F7" s="5" t="s">
        <v>51</v>
      </c>
      <c r="G7" s="5" t="s">
        <v>53</v>
      </c>
      <c r="H7" s="5" t="s">
        <v>53</v>
      </c>
    </row>
    <row r="8" spans="1:8" ht="15.75" thickBot="1">
      <c r="B8" s="6" t="s">
        <v>21</v>
      </c>
      <c r="C8" s="6" t="s">
        <v>22</v>
      </c>
      <c r="D8" s="6" t="s">
        <v>48</v>
      </c>
      <c r="E8" s="6" t="s">
        <v>50</v>
      </c>
      <c r="F8" s="6" t="s">
        <v>52</v>
      </c>
      <c r="G8" s="6" t="s">
        <v>54</v>
      </c>
      <c r="H8" s="6" t="s">
        <v>55</v>
      </c>
    </row>
    <row r="9" spans="1:8">
      <c r="B9" s="4" t="s">
        <v>228</v>
      </c>
      <c r="C9" s="4" t="s">
        <v>212</v>
      </c>
      <c r="D9" s="55">
        <v>175</v>
      </c>
      <c r="E9" s="4">
        <v>0</v>
      </c>
      <c r="F9" s="4">
        <v>1</v>
      </c>
      <c r="G9" s="47">
        <v>1E+30</v>
      </c>
      <c r="H9" s="47">
        <v>1E+30</v>
      </c>
    </row>
    <row r="10" spans="1:8" ht="15.75" thickBot="1">
      <c r="B10" s="2" t="s">
        <v>34</v>
      </c>
      <c r="C10" s="2" t="s">
        <v>212</v>
      </c>
      <c r="D10" s="56">
        <v>25.000000000000004</v>
      </c>
      <c r="E10" s="2">
        <v>0</v>
      </c>
      <c r="F10" s="2">
        <v>1</v>
      </c>
      <c r="G10" s="57">
        <v>1E+30</v>
      </c>
      <c r="H10" s="57">
        <v>1E+30</v>
      </c>
    </row>
    <row r="12" spans="1:8" ht="15.75" thickBot="1">
      <c r="A12" t="s">
        <v>27</v>
      </c>
    </row>
    <row r="13" spans="1:8">
      <c r="B13" s="5"/>
      <c r="C13" s="5"/>
      <c r="D13" s="5" t="s">
        <v>47</v>
      </c>
      <c r="E13" s="58" t="s">
        <v>56</v>
      </c>
      <c r="F13" s="5" t="s">
        <v>58</v>
      </c>
      <c r="G13" s="5" t="s">
        <v>53</v>
      </c>
      <c r="H13" s="5" t="s">
        <v>53</v>
      </c>
    </row>
    <row r="14" spans="1:8" ht="15.75" thickBot="1">
      <c r="B14" s="6" t="s">
        <v>21</v>
      </c>
      <c r="C14" s="6" t="s">
        <v>22</v>
      </c>
      <c r="D14" s="6" t="s">
        <v>48</v>
      </c>
      <c r="E14" s="59" t="s">
        <v>57</v>
      </c>
      <c r="F14" s="6" t="s">
        <v>59</v>
      </c>
      <c r="G14" s="6" t="s">
        <v>54</v>
      </c>
      <c r="H14" s="6" t="s">
        <v>55</v>
      </c>
    </row>
    <row r="15" spans="1:8">
      <c r="B15" s="4" t="s">
        <v>43</v>
      </c>
      <c r="C15" s="4" t="s">
        <v>229</v>
      </c>
      <c r="D15" s="4">
        <v>110</v>
      </c>
      <c r="E15" s="44">
        <v>1.1111111111111112</v>
      </c>
      <c r="F15" s="4">
        <v>110</v>
      </c>
      <c r="G15" s="47">
        <v>30</v>
      </c>
      <c r="H15" s="47">
        <v>89.999999999999986</v>
      </c>
    </row>
    <row r="16" spans="1:8" ht="15.75" thickBot="1">
      <c r="B16" s="2" t="s">
        <v>32</v>
      </c>
      <c r="C16" s="2" t="s">
        <v>230</v>
      </c>
      <c r="D16" s="2">
        <v>70</v>
      </c>
      <c r="E16" s="45">
        <v>1.1111111111111112</v>
      </c>
      <c r="F16" s="2">
        <v>70</v>
      </c>
      <c r="G16" s="57">
        <v>314.99999999999977</v>
      </c>
      <c r="H16" s="57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EAE5-3469-4428-9FC6-11E849A4915E}">
  <dimension ref="B3:L24"/>
  <sheetViews>
    <sheetView tabSelected="1" workbookViewId="0">
      <selection activeCell="J23" sqref="J23"/>
    </sheetView>
  </sheetViews>
  <sheetFormatPr defaultRowHeight="15"/>
  <cols>
    <col min="2" max="2" width="20.140625" customWidth="1"/>
    <col min="3" max="3" width="12" customWidth="1"/>
    <col min="6" max="6" width="19" customWidth="1"/>
    <col min="7" max="7" width="12.42578125" customWidth="1"/>
    <col min="8" max="8" width="14.42578125" customWidth="1"/>
  </cols>
  <sheetData>
    <row r="3" spans="2:12">
      <c r="L3" t="s">
        <v>70</v>
      </c>
    </row>
    <row r="4" spans="2:12">
      <c r="C4" s="84" t="s">
        <v>244</v>
      </c>
      <c r="D4" s="84"/>
      <c r="E4" s="84"/>
      <c r="L4" t="s">
        <v>250</v>
      </c>
    </row>
    <row r="5" spans="2:12" ht="34.5" customHeight="1">
      <c r="B5" s="19" t="s">
        <v>238</v>
      </c>
      <c r="C5" s="19" t="s">
        <v>177</v>
      </c>
      <c r="D5" s="19" t="s">
        <v>178</v>
      </c>
      <c r="E5" s="19" t="s">
        <v>243</v>
      </c>
      <c r="F5" s="21" t="s">
        <v>130</v>
      </c>
      <c r="G5" s="19" t="s">
        <v>98</v>
      </c>
      <c r="H5" s="19" t="s">
        <v>245</v>
      </c>
      <c r="L5" t="s">
        <v>98</v>
      </c>
    </row>
    <row r="6" spans="2:12">
      <c r="B6" s="19" t="s">
        <v>239</v>
      </c>
      <c r="C6" s="19">
        <v>5</v>
      </c>
      <c r="D6" s="19">
        <v>1</v>
      </c>
      <c r="E6" s="19">
        <v>7</v>
      </c>
      <c r="F6" s="19">
        <f>SUMPRODUCT(C6:E6,$C$10:$E$10)</f>
        <v>100</v>
      </c>
      <c r="G6" s="19" t="s">
        <v>9</v>
      </c>
      <c r="H6" s="20">
        <v>100</v>
      </c>
      <c r="L6" t="s">
        <v>247</v>
      </c>
    </row>
    <row r="7" spans="2:12">
      <c r="B7" s="19" t="s">
        <v>240</v>
      </c>
      <c r="C7" s="19">
        <v>2</v>
      </c>
      <c r="D7" s="19">
        <v>2</v>
      </c>
      <c r="E7" s="19">
        <v>5</v>
      </c>
      <c r="F7" s="19">
        <f t="shared" ref="F7:F8" si="0">SUMPRODUCT(C7:E7,$C$10:$E$10)</f>
        <v>40</v>
      </c>
      <c r="G7" s="19" t="s">
        <v>9</v>
      </c>
      <c r="H7" s="20">
        <v>100</v>
      </c>
      <c r="L7" t="s">
        <v>248</v>
      </c>
    </row>
    <row r="8" spans="2:12">
      <c r="B8" s="19" t="s">
        <v>241</v>
      </c>
      <c r="C8" s="19">
        <v>5</v>
      </c>
      <c r="D8" s="19">
        <v>5</v>
      </c>
      <c r="E8" s="19">
        <v>6</v>
      </c>
      <c r="F8" s="19">
        <f t="shared" si="0"/>
        <v>100</v>
      </c>
      <c r="G8" s="19" t="s">
        <v>9</v>
      </c>
      <c r="H8" s="20">
        <v>100</v>
      </c>
      <c r="L8" t="s">
        <v>249</v>
      </c>
    </row>
    <row r="9" spans="2:12" ht="30.75" customHeight="1">
      <c r="B9" s="21" t="s">
        <v>242</v>
      </c>
      <c r="C9" s="19">
        <v>450</v>
      </c>
      <c r="D9" s="19">
        <v>400</v>
      </c>
      <c r="E9" s="19">
        <v>500</v>
      </c>
      <c r="F9" s="83" t="s">
        <v>181</v>
      </c>
      <c r="G9" s="83"/>
      <c r="H9" s="24">
        <f>C9*C10+D9*D10+E9*E10</f>
        <v>9000</v>
      </c>
      <c r="L9" t="s">
        <v>251</v>
      </c>
    </row>
    <row r="10" spans="2:12">
      <c r="B10" s="19" t="s">
        <v>176</v>
      </c>
      <c r="C10" s="37">
        <v>20</v>
      </c>
      <c r="D10" s="37">
        <v>0</v>
      </c>
      <c r="E10" s="37">
        <v>0</v>
      </c>
      <c r="F10" s="23"/>
      <c r="G10" s="23"/>
      <c r="H10" s="23"/>
      <c r="L10" t="s">
        <v>252</v>
      </c>
    </row>
    <row r="11" spans="2:12">
      <c r="C11" t="s">
        <v>67</v>
      </c>
      <c r="D11" t="s">
        <v>68</v>
      </c>
      <c r="E11" t="s">
        <v>246</v>
      </c>
    </row>
    <row r="13" spans="2:12">
      <c r="B13" t="s">
        <v>254</v>
      </c>
    </row>
    <row r="14" spans="2:12">
      <c r="B14" t="s">
        <v>255</v>
      </c>
    </row>
    <row r="16" spans="2:12">
      <c r="B16" t="s">
        <v>256</v>
      </c>
    </row>
    <row r="17" spans="2:2">
      <c r="B17" t="s">
        <v>257</v>
      </c>
    </row>
    <row r="18" spans="2:2">
      <c r="B18" t="s">
        <v>259</v>
      </c>
    </row>
    <row r="20" spans="2:2">
      <c r="B20" t="s">
        <v>260</v>
      </c>
    </row>
    <row r="21" spans="2:2">
      <c r="B21" t="s">
        <v>261</v>
      </c>
    </row>
    <row r="22" spans="2:2">
      <c r="B22" t="s">
        <v>266</v>
      </c>
    </row>
    <row r="23" spans="2:2">
      <c r="B23" t="s">
        <v>265</v>
      </c>
    </row>
    <row r="24" spans="2:2">
      <c r="B24" t="s">
        <v>262</v>
      </c>
    </row>
  </sheetData>
  <mergeCells count="2">
    <mergeCell ref="C4:E4"/>
    <mergeCell ref="F9:G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11B1-C7AD-4417-BBC9-7B611FE270A2}">
  <dimension ref="B3:L13"/>
  <sheetViews>
    <sheetView workbookViewId="0">
      <selection activeCell="B13" sqref="B13"/>
    </sheetView>
  </sheetViews>
  <sheetFormatPr defaultRowHeight="15"/>
  <cols>
    <col min="2" max="2" width="20.140625" customWidth="1"/>
    <col min="3" max="3" width="12" customWidth="1"/>
    <col min="6" max="6" width="19" customWidth="1"/>
    <col min="7" max="7" width="12.42578125" customWidth="1"/>
    <col min="8" max="8" width="14.42578125" customWidth="1"/>
  </cols>
  <sheetData>
    <row r="3" spans="2:12">
      <c r="L3" t="s">
        <v>70</v>
      </c>
    </row>
    <row r="4" spans="2:12">
      <c r="C4" s="84" t="s">
        <v>244</v>
      </c>
      <c r="D4" s="84"/>
      <c r="E4" s="84"/>
      <c r="L4" t="s">
        <v>250</v>
      </c>
    </row>
    <row r="5" spans="2:12" ht="34.5" customHeight="1">
      <c r="B5" s="19" t="s">
        <v>238</v>
      </c>
      <c r="C5" s="19" t="s">
        <v>177</v>
      </c>
      <c r="D5" s="19" t="s">
        <v>178</v>
      </c>
      <c r="E5" s="19" t="s">
        <v>243</v>
      </c>
      <c r="F5" s="21" t="s">
        <v>130</v>
      </c>
      <c r="G5" s="19" t="s">
        <v>98</v>
      </c>
      <c r="H5" s="19" t="s">
        <v>245</v>
      </c>
      <c r="L5" t="s">
        <v>98</v>
      </c>
    </row>
    <row r="6" spans="2:12">
      <c r="B6" s="19" t="s">
        <v>239</v>
      </c>
      <c r="C6" s="19">
        <v>5</v>
      </c>
      <c r="D6" s="19">
        <v>1</v>
      </c>
      <c r="E6" s="19">
        <v>7</v>
      </c>
      <c r="F6" s="19">
        <f>SUMPRODUCT(C6:E6,$C$10:$E$10)</f>
        <v>97</v>
      </c>
      <c r="G6" s="19" t="s">
        <v>9</v>
      </c>
      <c r="H6" s="20">
        <v>100</v>
      </c>
      <c r="L6" t="s">
        <v>247</v>
      </c>
    </row>
    <row r="7" spans="2:12">
      <c r="B7" s="19" t="s">
        <v>240</v>
      </c>
      <c r="C7" s="19">
        <v>2</v>
      </c>
      <c r="D7" s="19">
        <v>2</v>
      </c>
      <c r="E7" s="19">
        <v>5</v>
      </c>
      <c r="F7" s="19">
        <f t="shared" ref="F7:F8" si="0">SUMPRODUCT(C7:E7,$C$10:$E$10)</f>
        <v>95</v>
      </c>
      <c r="G7" s="19" t="s">
        <v>9</v>
      </c>
      <c r="H7" s="20">
        <v>100</v>
      </c>
      <c r="L7" t="s">
        <v>248</v>
      </c>
    </row>
    <row r="8" spans="2:12">
      <c r="B8" s="19" t="s">
        <v>241</v>
      </c>
      <c r="C8" s="19">
        <v>5</v>
      </c>
      <c r="D8" s="19">
        <v>5</v>
      </c>
      <c r="E8" s="19">
        <v>0</v>
      </c>
      <c r="F8" s="19">
        <f t="shared" si="0"/>
        <v>100</v>
      </c>
      <c r="G8" s="19" t="s">
        <v>9</v>
      </c>
      <c r="H8" s="20">
        <v>100</v>
      </c>
      <c r="L8" t="s">
        <v>249</v>
      </c>
    </row>
    <row r="9" spans="2:12" ht="30.75" customHeight="1">
      <c r="B9" s="21" t="s">
        <v>242</v>
      </c>
      <c r="C9" s="19">
        <v>450</v>
      </c>
      <c r="D9" s="19">
        <v>400</v>
      </c>
      <c r="E9" s="19">
        <v>300</v>
      </c>
      <c r="F9" s="83" t="s">
        <v>181</v>
      </c>
      <c r="G9" s="83"/>
      <c r="H9" s="24">
        <f>C9*C10+D9*D10+E9*E10</f>
        <v>11300</v>
      </c>
      <c r="L9" t="s">
        <v>251</v>
      </c>
    </row>
    <row r="10" spans="2:12">
      <c r="B10" s="19" t="s">
        <v>176</v>
      </c>
      <c r="C10" s="37">
        <v>0</v>
      </c>
      <c r="D10" s="37">
        <v>20</v>
      </c>
      <c r="E10" s="37">
        <v>11</v>
      </c>
      <c r="F10" s="23"/>
      <c r="G10" s="23"/>
      <c r="H10" s="23"/>
      <c r="L10" t="s">
        <v>252</v>
      </c>
    </row>
    <row r="11" spans="2:12">
      <c r="C11" t="s">
        <v>67</v>
      </c>
      <c r="D11" t="s">
        <v>68</v>
      </c>
      <c r="E11" t="s">
        <v>246</v>
      </c>
    </row>
    <row r="13" spans="2:12">
      <c r="B13" t="s">
        <v>253</v>
      </c>
    </row>
  </sheetData>
  <mergeCells count="2">
    <mergeCell ref="C4:E4"/>
    <mergeCell ref="F9:G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A085-AE62-4F78-86A7-40109D40C8DC}">
  <dimension ref="B3:L13"/>
  <sheetViews>
    <sheetView workbookViewId="0">
      <selection activeCell="F18" sqref="F18"/>
    </sheetView>
  </sheetViews>
  <sheetFormatPr defaultRowHeight="15"/>
  <cols>
    <col min="2" max="2" width="20.140625" customWidth="1"/>
    <col min="3" max="3" width="12" customWidth="1"/>
    <col min="6" max="6" width="19" customWidth="1"/>
    <col min="7" max="7" width="12.42578125" customWidth="1"/>
    <col min="8" max="8" width="14.42578125" customWidth="1"/>
  </cols>
  <sheetData>
    <row r="3" spans="2:12">
      <c r="L3" t="s">
        <v>70</v>
      </c>
    </row>
    <row r="4" spans="2:12">
      <c r="C4" s="84" t="s">
        <v>244</v>
      </c>
      <c r="D4" s="84"/>
      <c r="E4" s="84"/>
      <c r="L4" t="s">
        <v>250</v>
      </c>
    </row>
    <row r="5" spans="2:12" ht="34.5" customHeight="1">
      <c r="B5" s="19" t="s">
        <v>238</v>
      </c>
      <c r="C5" s="19" t="s">
        <v>177</v>
      </c>
      <c r="D5" s="19" t="s">
        <v>178</v>
      </c>
      <c r="E5" s="19" t="s">
        <v>243</v>
      </c>
      <c r="F5" s="21" t="s">
        <v>130</v>
      </c>
      <c r="G5" s="19" t="s">
        <v>98</v>
      </c>
      <c r="H5" s="19" t="s">
        <v>245</v>
      </c>
      <c r="L5" t="s">
        <v>98</v>
      </c>
    </row>
    <row r="6" spans="2:12">
      <c r="B6" s="19" t="s">
        <v>239</v>
      </c>
      <c r="C6" s="19">
        <v>5</v>
      </c>
      <c r="D6" s="19">
        <v>1</v>
      </c>
      <c r="E6" s="19">
        <v>7</v>
      </c>
      <c r="F6" s="19">
        <f>SUMPRODUCT(C6:E6,$C$10:$E$10)</f>
        <v>100</v>
      </c>
      <c r="G6" s="19" t="s">
        <v>9</v>
      </c>
      <c r="H6" s="20">
        <v>100</v>
      </c>
      <c r="I6">
        <f>H6-F6</f>
        <v>0</v>
      </c>
      <c r="L6" t="s">
        <v>247</v>
      </c>
    </row>
    <row r="7" spans="2:12">
      <c r="B7" s="19" t="s">
        <v>240</v>
      </c>
      <c r="C7" s="19">
        <v>2</v>
      </c>
      <c r="D7" s="19">
        <v>2</v>
      </c>
      <c r="E7" s="19">
        <v>5</v>
      </c>
      <c r="F7" s="19">
        <f t="shared" ref="F7:F8" si="0">SUMPRODUCT(C7:E7,$C$10:$E$10)</f>
        <v>40</v>
      </c>
      <c r="G7" s="19" t="s">
        <v>9</v>
      </c>
      <c r="H7" s="20">
        <v>110</v>
      </c>
      <c r="I7">
        <f t="shared" ref="I7:I8" si="1">H7-F7</f>
        <v>70</v>
      </c>
      <c r="L7" t="s">
        <v>248</v>
      </c>
    </row>
    <row r="8" spans="2:12">
      <c r="B8" s="19" t="s">
        <v>241</v>
      </c>
      <c r="C8" s="19">
        <v>5</v>
      </c>
      <c r="D8" s="19">
        <v>5</v>
      </c>
      <c r="E8" s="19">
        <v>6</v>
      </c>
      <c r="F8" s="19">
        <f t="shared" si="0"/>
        <v>100</v>
      </c>
      <c r="G8" s="19" t="s">
        <v>9</v>
      </c>
      <c r="H8" s="20">
        <v>100</v>
      </c>
      <c r="I8">
        <f t="shared" si="1"/>
        <v>0</v>
      </c>
      <c r="L8" t="s">
        <v>249</v>
      </c>
    </row>
    <row r="9" spans="2:12" ht="30.75" customHeight="1">
      <c r="B9" s="21" t="s">
        <v>242</v>
      </c>
      <c r="C9" s="19">
        <v>450</v>
      </c>
      <c r="D9" s="19">
        <v>400</v>
      </c>
      <c r="E9" s="19">
        <v>500</v>
      </c>
      <c r="F9" s="83" t="s">
        <v>181</v>
      </c>
      <c r="G9" s="83"/>
      <c r="H9" s="24">
        <f>C9*C10+D9*D10+E9*E10</f>
        <v>9000</v>
      </c>
      <c r="L9" t="s">
        <v>251</v>
      </c>
    </row>
    <row r="10" spans="2:12">
      <c r="B10" s="19" t="s">
        <v>176</v>
      </c>
      <c r="C10" s="37">
        <v>20</v>
      </c>
      <c r="D10" s="37">
        <v>0</v>
      </c>
      <c r="E10" s="37">
        <v>0</v>
      </c>
      <c r="F10" s="23"/>
      <c r="G10" s="23"/>
      <c r="H10" s="23"/>
      <c r="L10" t="s">
        <v>252</v>
      </c>
    </row>
    <row r="11" spans="2:12">
      <c r="C11" t="s">
        <v>67</v>
      </c>
      <c r="D11" t="s">
        <v>68</v>
      </c>
      <c r="E11" t="s">
        <v>246</v>
      </c>
    </row>
    <row r="13" spans="2:12">
      <c r="B13" t="s">
        <v>258</v>
      </c>
    </row>
  </sheetData>
  <mergeCells count="2">
    <mergeCell ref="C4:E4"/>
    <mergeCell ref="F9:G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F571-C916-4E43-B5D4-8E68170B0577}">
  <dimension ref="B3:L14"/>
  <sheetViews>
    <sheetView workbookViewId="0">
      <selection activeCell="B15" sqref="B15"/>
    </sheetView>
  </sheetViews>
  <sheetFormatPr defaultRowHeight="15"/>
  <cols>
    <col min="2" max="2" width="20.140625" customWidth="1"/>
    <col min="3" max="3" width="12" customWidth="1"/>
    <col min="6" max="6" width="19" customWidth="1"/>
    <col min="7" max="7" width="12.42578125" customWidth="1"/>
    <col min="8" max="8" width="14.42578125" customWidth="1"/>
  </cols>
  <sheetData>
    <row r="3" spans="2:12">
      <c r="L3" t="s">
        <v>70</v>
      </c>
    </row>
    <row r="4" spans="2:12">
      <c r="C4" s="84" t="s">
        <v>244</v>
      </c>
      <c r="D4" s="84"/>
      <c r="E4" s="84"/>
      <c r="L4" t="s">
        <v>250</v>
      </c>
    </row>
    <row r="5" spans="2:12" ht="34.5" customHeight="1">
      <c r="B5" s="19" t="s">
        <v>238</v>
      </c>
      <c r="C5" s="19" t="s">
        <v>177</v>
      </c>
      <c r="D5" s="19" t="s">
        <v>178</v>
      </c>
      <c r="E5" s="19" t="s">
        <v>243</v>
      </c>
      <c r="F5" s="21" t="s">
        <v>130</v>
      </c>
      <c r="G5" s="19" t="s">
        <v>98</v>
      </c>
      <c r="H5" s="19" t="s">
        <v>245</v>
      </c>
      <c r="L5" t="s">
        <v>98</v>
      </c>
    </row>
    <row r="6" spans="2:12">
      <c r="B6" s="19" t="s">
        <v>239</v>
      </c>
      <c r="C6" s="19">
        <v>5</v>
      </c>
      <c r="D6" s="19">
        <v>1</v>
      </c>
      <c r="E6" s="19">
        <v>7</v>
      </c>
      <c r="F6" s="19">
        <f>SUMPRODUCT(C6:E6,$C$10:$E$10)</f>
        <v>98</v>
      </c>
      <c r="G6" s="19" t="s">
        <v>9</v>
      </c>
      <c r="H6" s="20">
        <v>100</v>
      </c>
      <c r="L6" t="s">
        <v>247</v>
      </c>
    </row>
    <row r="7" spans="2:12">
      <c r="B7" s="19" t="s">
        <v>240</v>
      </c>
      <c r="C7" s="19">
        <v>2</v>
      </c>
      <c r="D7" s="19">
        <v>2</v>
      </c>
      <c r="E7" s="19">
        <v>5</v>
      </c>
      <c r="F7" s="19">
        <f t="shared" ref="F7:F8" si="0">SUMPRODUCT(C7:E7,$C$10:$E$10)</f>
        <v>66</v>
      </c>
      <c r="G7" s="19" t="s">
        <v>9</v>
      </c>
      <c r="H7" s="20">
        <v>100</v>
      </c>
      <c r="L7" t="s">
        <v>248</v>
      </c>
    </row>
    <row r="8" spans="2:12">
      <c r="B8" s="19" t="s">
        <v>241</v>
      </c>
      <c r="C8" s="19">
        <v>5</v>
      </c>
      <c r="D8" s="19">
        <v>5</v>
      </c>
      <c r="E8" s="19">
        <v>6</v>
      </c>
      <c r="F8" s="19">
        <f t="shared" si="0"/>
        <v>100</v>
      </c>
      <c r="G8" s="19" t="s">
        <v>9</v>
      </c>
      <c r="H8" s="20">
        <v>100</v>
      </c>
      <c r="L8" t="s">
        <v>249</v>
      </c>
    </row>
    <row r="9" spans="2:12" ht="30.75" customHeight="1">
      <c r="B9" s="21" t="s">
        <v>242</v>
      </c>
      <c r="C9" s="19">
        <v>450</v>
      </c>
      <c r="D9" s="19">
        <v>400</v>
      </c>
      <c r="E9" s="19">
        <v>553</v>
      </c>
      <c r="F9" s="83" t="s">
        <v>181</v>
      </c>
      <c r="G9" s="83"/>
      <c r="H9" s="24">
        <f>C9*C10+D9*D10+E9*E10</f>
        <v>8980</v>
      </c>
      <c r="L9" t="s">
        <v>251</v>
      </c>
    </row>
    <row r="10" spans="2:12">
      <c r="B10" s="19" t="s">
        <v>176</v>
      </c>
      <c r="C10" s="37">
        <v>5</v>
      </c>
      <c r="D10" s="37">
        <v>3</v>
      </c>
      <c r="E10" s="37">
        <v>10</v>
      </c>
      <c r="F10" s="23"/>
      <c r="G10" s="23"/>
      <c r="H10" s="23"/>
      <c r="L10" t="s">
        <v>252</v>
      </c>
    </row>
    <row r="11" spans="2:12">
      <c r="C11" t="s">
        <v>67</v>
      </c>
      <c r="D11" t="s">
        <v>68</v>
      </c>
      <c r="E11" t="s">
        <v>246</v>
      </c>
    </row>
    <row r="13" spans="2:12">
      <c r="B13" t="s">
        <v>263</v>
      </c>
    </row>
    <row r="14" spans="2:12">
      <c r="B14" t="s">
        <v>264</v>
      </c>
    </row>
  </sheetData>
  <mergeCells count="2">
    <mergeCell ref="C4:E4"/>
    <mergeCell ref="F9:G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CEE6-4D64-4AA4-B5FB-DBC8E3CC29EF}">
  <dimension ref="B2:O28"/>
  <sheetViews>
    <sheetView workbookViewId="0">
      <selection activeCell="P19" sqref="P19"/>
    </sheetView>
  </sheetViews>
  <sheetFormatPr defaultRowHeight="15"/>
  <cols>
    <col min="2" max="2" width="22.7109375" customWidth="1"/>
    <col min="3" max="3" width="11.7109375" customWidth="1"/>
    <col min="4" max="4" width="10.85546875" customWidth="1"/>
    <col min="5" max="5" width="18.5703125" customWidth="1"/>
    <col min="6" max="6" width="16.42578125" customWidth="1"/>
    <col min="7" max="7" width="13.42578125" customWidth="1"/>
    <col min="8" max="8" width="12.7109375" customWidth="1"/>
    <col min="9" max="9" width="19.28515625" customWidth="1"/>
  </cols>
  <sheetData>
    <row r="2" spans="2:15" ht="28.5" customHeight="1">
      <c r="B2" t="s">
        <v>278</v>
      </c>
      <c r="H2" s="19" t="s">
        <v>276</v>
      </c>
      <c r="I2" s="21" t="s">
        <v>277</v>
      </c>
    </row>
    <row r="3" spans="2:15">
      <c r="H3" s="19">
        <v>3</v>
      </c>
      <c r="I3" s="19">
        <v>1.5</v>
      </c>
      <c r="J3" t="s">
        <v>280</v>
      </c>
      <c r="N3" t="s">
        <v>282</v>
      </c>
      <c r="O3" t="s">
        <v>284</v>
      </c>
    </row>
    <row r="4" spans="2:15">
      <c r="H4" s="19">
        <v>5</v>
      </c>
      <c r="I4" s="19">
        <f>H4-2</f>
        <v>3</v>
      </c>
      <c r="J4" t="s">
        <v>281</v>
      </c>
      <c r="N4" t="s">
        <v>283</v>
      </c>
      <c r="O4" t="s">
        <v>285</v>
      </c>
    </row>
    <row r="5" spans="2:15" ht="29.25" customHeight="1">
      <c r="B5" s="19" t="s">
        <v>174</v>
      </c>
      <c r="C5" s="19" t="s">
        <v>274</v>
      </c>
      <c r="D5" s="19" t="s">
        <v>275</v>
      </c>
      <c r="E5" s="21" t="s">
        <v>130</v>
      </c>
      <c r="F5" s="19" t="s">
        <v>98</v>
      </c>
      <c r="G5" s="19" t="s">
        <v>179</v>
      </c>
      <c r="J5" t="s">
        <v>96</v>
      </c>
    </row>
    <row r="6" spans="2:15">
      <c r="B6" s="19" t="s">
        <v>239</v>
      </c>
      <c r="C6" s="19">
        <v>5</v>
      </c>
      <c r="D6" s="19">
        <v>8</v>
      </c>
      <c r="E6" s="19">
        <f>SUMPRODUCT(C6:D6,$C$14:$D$14)</f>
        <v>2600</v>
      </c>
      <c r="F6" s="19" t="s">
        <v>9</v>
      </c>
      <c r="G6" s="20">
        <v>2600</v>
      </c>
      <c r="J6" t="s">
        <v>286</v>
      </c>
    </row>
    <row r="7" spans="2:15">
      <c r="B7" s="19" t="s">
        <v>240</v>
      </c>
      <c r="C7" s="19">
        <v>0.8</v>
      </c>
      <c r="D7" s="19">
        <v>1.2</v>
      </c>
      <c r="E7" s="19">
        <f t="shared" ref="E7:E8" si="0">SUMPRODUCT(C7:D7,$C$14:$D$14)</f>
        <v>400</v>
      </c>
      <c r="F7" s="19" t="s">
        <v>9</v>
      </c>
      <c r="G7" s="20">
        <v>400</v>
      </c>
    </row>
    <row r="8" spans="2:15">
      <c r="B8" s="19" t="s">
        <v>267</v>
      </c>
      <c r="C8" s="19">
        <v>0.5</v>
      </c>
      <c r="D8" s="19">
        <v>0.5</v>
      </c>
      <c r="E8" s="19">
        <f t="shared" si="0"/>
        <v>200</v>
      </c>
      <c r="F8" s="19" t="s">
        <v>9</v>
      </c>
      <c r="G8" s="20">
        <v>200</v>
      </c>
    </row>
    <row r="9" spans="2:15">
      <c r="B9" s="19" t="s">
        <v>268</v>
      </c>
      <c r="C9" s="19">
        <v>1.5</v>
      </c>
      <c r="D9" s="19">
        <f>D10-2</f>
        <v>3</v>
      </c>
      <c r="E9" s="23"/>
      <c r="F9" s="23"/>
      <c r="G9" s="23"/>
      <c r="J9" t="s">
        <v>199</v>
      </c>
    </row>
    <row r="10" spans="2:15">
      <c r="B10" s="61" t="s">
        <v>269</v>
      </c>
      <c r="C10" s="61">
        <v>3</v>
      </c>
      <c r="D10" s="61">
        <v>5</v>
      </c>
      <c r="E10" s="23"/>
      <c r="F10" s="23"/>
      <c r="G10" s="23"/>
      <c r="I10" s="63" t="s">
        <v>239</v>
      </c>
      <c r="J10" s="64" t="s">
        <v>289</v>
      </c>
      <c r="K10" s="65"/>
    </row>
    <row r="11" spans="2:15" ht="21" customHeight="1">
      <c r="B11" s="83" t="s">
        <v>279</v>
      </c>
      <c r="C11" s="83"/>
      <c r="D11" s="83"/>
      <c r="E11" s="83"/>
      <c r="F11" s="83"/>
      <c r="G11" s="24">
        <f>C9*C14+D9*D14+C10*C15+D10*D15</f>
        <v>1700</v>
      </c>
      <c r="I11" s="66" t="s">
        <v>240</v>
      </c>
      <c r="J11" t="s">
        <v>290</v>
      </c>
      <c r="K11" s="67"/>
    </row>
    <row r="12" spans="2:15">
      <c r="B12" s="28" t="s">
        <v>270</v>
      </c>
      <c r="C12" s="62">
        <v>300</v>
      </c>
      <c r="D12" s="62">
        <v>300</v>
      </c>
      <c r="E12" s="23"/>
      <c r="F12" s="23"/>
      <c r="G12" s="23"/>
      <c r="I12" s="68" t="s">
        <v>287</v>
      </c>
      <c r="J12" s="69" t="s">
        <v>291</v>
      </c>
      <c r="K12" s="70"/>
    </row>
    <row r="13" spans="2:15" ht="30">
      <c r="B13" s="19" t="s">
        <v>271</v>
      </c>
      <c r="C13" s="19">
        <f>SUM(C14:C15)</f>
        <v>300</v>
      </c>
      <c r="D13" s="19">
        <f>SUM(D14:D15)</f>
        <v>300</v>
      </c>
      <c r="E13" s="23"/>
      <c r="F13" s="23"/>
      <c r="G13" s="23"/>
      <c r="I13" s="71" t="s">
        <v>288</v>
      </c>
      <c r="J13" s="64" t="s">
        <v>292</v>
      </c>
      <c r="K13" s="65"/>
    </row>
    <row r="14" spans="2:15">
      <c r="B14" s="19" t="s">
        <v>272</v>
      </c>
      <c r="C14" s="37">
        <v>200</v>
      </c>
      <c r="D14" s="37">
        <v>200</v>
      </c>
      <c r="E14" s="23"/>
      <c r="F14" s="23"/>
      <c r="G14" s="23"/>
      <c r="I14" s="72"/>
      <c r="J14" s="69" t="s">
        <v>293</v>
      </c>
      <c r="K14" s="70"/>
    </row>
    <row r="15" spans="2:15">
      <c r="B15" s="19" t="s">
        <v>273</v>
      </c>
      <c r="C15" s="37">
        <v>100</v>
      </c>
      <c r="D15" s="37">
        <v>100</v>
      </c>
      <c r="E15" s="23"/>
      <c r="F15" s="23"/>
      <c r="G15" s="23"/>
      <c r="J15" t="s">
        <v>294</v>
      </c>
    </row>
    <row r="16" spans="2:15">
      <c r="C16" t="s">
        <v>67</v>
      </c>
      <c r="D16" t="s">
        <v>68</v>
      </c>
      <c r="J16" t="s">
        <v>295</v>
      </c>
    </row>
    <row r="17" spans="2:6">
      <c r="C17" t="s">
        <v>246</v>
      </c>
      <c r="D17" t="s">
        <v>296</v>
      </c>
    </row>
    <row r="19" spans="2:6">
      <c r="B19" t="s">
        <v>297</v>
      </c>
      <c r="F19" s="27">
        <v>1700</v>
      </c>
    </row>
    <row r="20" spans="2:6">
      <c r="B20" t="s">
        <v>298</v>
      </c>
    </row>
    <row r="21" spans="2:6">
      <c r="B21" t="s">
        <v>299</v>
      </c>
      <c r="C21" s="34" t="s">
        <v>305</v>
      </c>
    </row>
    <row r="23" spans="2:6">
      <c r="B23" t="s">
        <v>300</v>
      </c>
      <c r="F23" s="34" t="s">
        <v>307</v>
      </c>
    </row>
    <row r="24" spans="2:6">
      <c r="B24" t="s">
        <v>301</v>
      </c>
      <c r="F24" s="34" t="s">
        <v>306</v>
      </c>
    </row>
    <row r="25" spans="2:6">
      <c r="B25" t="s">
        <v>302</v>
      </c>
    </row>
    <row r="26" spans="2:6">
      <c r="B26" t="s">
        <v>303</v>
      </c>
    </row>
    <row r="27" spans="2:6">
      <c r="B27" t="s">
        <v>304</v>
      </c>
    </row>
    <row r="28" spans="2:6">
      <c r="B28" t="s">
        <v>308</v>
      </c>
    </row>
  </sheetData>
  <mergeCells count="1">
    <mergeCell ref="B11:F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2082-5CD3-4912-A074-CEE1F12FA22D}">
  <dimension ref="B2:O21"/>
  <sheetViews>
    <sheetView workbookViewId="0">
      <selection activeCell="E21" sqref="E21"/>
    </sheetView>
  </sheetViews>
  <sheetFormatPr defaultRowHeight="15"/>
  <cols>
    <col min="2" max="2" width="22.7109375" customWidth="1"/>
    <col min="3" max="3" width="11.7109375" customWidth="1"/>
    <col min="4" max="4" width="10.85546875" customWidth="1"/>
    <col min="5" max="5" width="18.5703125" customWidth="1"/>
    <col min="6" max="6" width="16.42578125" customWidth="1"/>
    <col min="7" max="7" width="13.42578125" customWidth="1"/>
    <col min="8" max="8" width="12.7109375" customWidth="1"/>
    <col min="9" max="9" width="19.28515625" customWidth="1"/>
  </cols>
  <sheetData>
    <row r="2" spans="2:15" ht="28.5" customHeight="1">
      <c r="B2" t="s">
        <v>278</v>
      </c>
      <c r="H2" s="19" t="s">
        <v>276</v>
      </c>
      <c r="I2" s="21" t="s">
        <v>277</v>
      </c>
    </row>
    <row r="3" spans="2:15">
      <c r="H3" s="19">
        <v>3</v>
      </c>
      <c r="I3" s="19">
        <v>1.5</v>
      </c>
      <c r="J3" t="s">
        <v>280</v>
      </c>
      <c r="N3" t="s">
        <v>282</v>
      </c>
      <c r="O3" t="s">
        <v>284</v>
      </c>
    </row>
    <row r="4" spans="2:15">
      <c r="H4" s="19">
        <v>5</v>
      </c>
      <c r="I4" s="19">
        <f>H4-2</f>
        <v>3</v>
      </c>
      <c r="J4" t="s">
        <v>281</v>
      </c>
      <c r="N4" t="s">
        <v>283</v>
      </c>
      <c r="O4" t="s">
        <v>285</v>
      </c>
    </row>
    <row r="5" spans="2:15" ht="29.25" customHeight="1">
      <c r="B5" s="19" t="s">
        <v>174</v>
      </c>
      <c r="C5" s="19" t="s">
        <v>274</v>
      </c>
      <c r="D5" s="19" t="s">
        <v>275</v>
      </c>
      <c r="E5" s="21" t="s">
        <v>130</v>
      </c>
      <c r="F5" s="19" t="s">
        <v>98</v>
      </c>
      <c r="G5" s="19" t="s">
        <v>179</v>
      </c>
      <c r="J5" t="s">
        <v>96</v>
      </c>
    </row>
    <row r="6" spans="2:15">
      <c r="B6" s="19" t="s">
        <v>239</v>
      </c>
      <c r="C6" s="19">
        <v>5</v>
      </c>
      <c r="D6" s="19">
        <v>8</v>
      </c>
      <c r="E6" s="19">
        <f>SUMPRODUCT(C6:D6,$C$14:$D$14)</f>
        <v>2600</v>
      </c>
      <c r="F6" s="19" t="s">
        <v>9</v>
      </c>
      <c r="G6" s="20">
        <v>2600</v>
      </c>
      <c r="J6" t="s">
        <v>286</v>
      </c>
    </row>
    <row r="7" spans="2:15">
      <c r="B7" s="19" t="s">
        <v>240</v>
      </c>
      <c r="C7" s="19">
        <v>0.8</v>
      </c>
      <c r="D7" s="19">
        <v>1.2</v>
      </c>
      <c r="E7" s="19">
        <f t="shared" ref="E7:E8" si="0">SUMPRODUCT(C7:D7,$C$14:$D$14)</f>
        <v>400</v>
      </c>
      <c r="F7" s="19" t="s">
        <v>9</v>
      </c>
      <c r="G7" s="20">
        <v>400</v>
      </c>
    </row>
    <row r="8" spans="2:15">
      <c r="B8" s="19" t="s">
        <v>267</v>
      </c>
      <c r="C8" s="19">
        <v>0.5</v>
      </c>
      <c r="D8" s="19">
        <v>0.5</v>
      </c>
      <c r="E8" s="19">
        <f t="shared" si="0"/>
        <v>200</v>
      </c>
      <c r="F8" s="19" t="s">
        <v>9</v>
      </c>
      <c r="G8" s="20">
        <v>200</v>
      </c>
    </row>
    <row r="9" spans="2:15">
      <c r="B9" s="19" t="s">
        <v>268</v>
      </c>
      <c r="C9" s="19">
        <v>1.5</v>
      </c>
      <c r="D9" s="19">
        <f>D10-2</f>
        <v>3.5</v>
      </c>
      <c r="E9" s="23"/>
      <c r="F9" s="23"/>
      <c r="G9" s="23"/>
      <c r="J9" t="s">
        <v>199</v>
      </c>
    </row>
    <row r="10" spans="2:15">
      <c r="B10" s="61" t="s">
        <v>269</v>
      </c>
      <c r="C10" s="61">
        <v>3</v>
      </c>
      <c r="D10" s="61">
        <v>5.5</v>
      </c>
      <c r="E10" s="23"/>
      <c r="F10" s="23"/>
      <c r="G10" s="23"/>
      <c r="I10" s="63" t="s">
        <v>239</v>
      </c>
      <c r="J10" s="64" t="s">
        <v>289</v>
      </c>
      <c r="K10" s="65"/>
    </row>
    <row r="11" spans="2:15" ht="21" customHeight="1">
      <c r="B11" s="83" t="s">
        <v>279</v>
      </c>
      <c r="C11" s="83"/>
      <c r="D11" s="83"/>
      <c r="E11" s="83"/>
      <c r="F11" s="83"/>
      <c r="G11" s="24">
        <f>C9*C14+D9*D14+C10*C15+D10*D15</f>
        <v>1850</v>
      </c>
      <c r="I11" s="66" t="s">
        <v>240</v>
      </c>
      <c r="J11" t="s">
        <v>290</v>
      </c>
      <c r="K11" s="67"/>
    </row>
    <row r="12" spans="2:15">
      <c r="B12" s="28" t="s">
        <v>270</v>
      </c>
      <c r="C12" s="62">
        <v>300</v>
      </c>
      <c r="D12" s="62">
        <v>300</v>
      </c>
      <c r="E12" s="23"/>
      <c r="F12" s="23"/>
      <c r="G12" s="23"/>
      <c r="I12" s="68" t="s">
        <v>287</v>
      </c>
      <c r="J12" s="69" t="s">
        <v>291</v>
      </c>
      <c r="K12" s="70"/>
    </row>
    <row r="13" spans="2:15" ht="30">
      <c r="B13" s="19" t="s">
        <v>271</v>
      </c>
      <c r="C13" s="19">
        <f>SUM(C14:C15)</f>
        <v>300</v>
      </c>
      <c r="D13" s="19">
        <f>SUM(D14:D15)</f>
        <v>300</v>
      </c>
      <c r="E13" s="23"/>
      <c r="F13" s="23"/>
      <c r="G13" s="23"/>
      <c r="I13" s="71" t="s">
        <v>288</v>
      </c>
      <c r="J13" s="64" t="s">
        <v>292</v>
      </c>
      <c r="K13" s="65"/>
    </row>
    <row r="14" spans="2:15">
      <c r="B14" s="19" t="s">
        <v>272</v>
      </c>
      <c r="C14" s="37">
        <v>200</v>
      </c>
      <c r="D14" s="37">
        <v>200</v>
      </c>
      <c r="E14" s="23"/>
      <c r="F14" s="23"/>
      <c r="G14" s="23"/>
      <c r="I14" s="72"/>
      <c r="J14" s="69" t="s">
        <v>293</v>
      </c>
      <c r="K14" s="70"/>
    </row>
    <row r="15" spans="2:15">
      <c r="B15" s="19" t="s">
        <v>273</v>
      </c>
      <c r="C15" s="37">
        <v>100</v>
      </c>
      <c r="D15" s="37">
        <v>100</v>
      </c>
      <c r="E15" s="23"/>
      <c r="F15" s="23"/>
      <c r="G15" s="23"/>
      <c r="J15" t="s">
        <v>294</v>
      </c>
    </row>
    <row r="16" spans="2:15">
      <c r="C16" t="s">
        <v>67</v>
      </c>
      <c r="D16" t="s">
        <v>68</v>
      </c>
      <c r="J16" t="s">
        <v>295</v>
      </c>
    </row>
    <row r="17" spans="2:6">
      <c r="C17" t="s">
        <v>246</v>
      </c>
      <c r="D17" t="s">
        <v>296</v>
      </c>
    </row>
    <row r="20" spans="2:6">
      <c r="B20" s="24">
        <v>1850</v>
      </c>
      <c r="E20" s="37">
        <v>200</v>
      </c>
      <c r="F20" s="37">
        <v>200</v>
      </c>
    </row>
    <row r="21" spans="2:6">
      <c r="E21" s="37">
        <v>100</v>
      </c>
      <c r="F21" s="37">
        <v>100</v>
      </c>
    </row>
  </sheetData>
  <mergeCells count="1"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1_1</vt:lpstr>
      <vt:lpstr>Отчет об устойчивости 1</vt:lpstr>
      <vt:lpstr>Отчет о результатах 1</vt:lpstr>
      <vt:lpstr>Отчет о пределах 1</vt:lpstr>
      <vt:lpstr>1_2</vt:lpstr>
      <vt:lpstr>Отчет об устойчивости 2</vt:lpstr>
      <vt:lpstr>1_3</vt:lpstr>
      <vt:lpstr>Отчет об устойчивости 3</vt:lpstr>
      <vt:lpstr>1_4</vt:lpstr>
      <vt:lpstr>Отчет об устойчивости 4</vt:lpstr>
      <vt:lpstr>1_5</vt:lpstr>
      <vt:lpstr>1_6</vt:lpstr>
      <vt:lpstr>Отчет об устойчивости 5</vt:lpstr>
      <vt:lpstr>1_7</vt:lpstr>
      <vt:lpstr>1_7 (2)</vt:lpstr>
      <vt:lpstr>1_7 (3)</vt:lpstr>
      <vt:lpstr>1_7 (4)</vt:lpstr>
      <vt:lpstr>1_8</vt:lpstr>
      <vt:lpstr>1_8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Sofiia Shkola</dc:creator>
  <cp:lastModifiedBy>Sofiia Shkola</cp:lastModifiedBy>
  <dcterms:created xsi:type="dcterms:W3CDTF">2025-09-08T17:13:44Z</dcterms:created>
  <dcterms:modified xsi:type="dcterms:W3CDTF">2025-09-18T19:44:28Z</dcterms:modified>
</cp:coreProperties>
</file>